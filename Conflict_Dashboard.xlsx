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SAPANA\Desktop\"/>
    </mc:Choice>
  </mc:AlternateContent>
  <xr:revisionPtr revIDLastSave="0" documentId="13_ncr:1_{FDB9A2AF-3D08-4181-8733-E370E4973852}" xr6:coauthVersionLast="47" xr6:coauthVersionMax="47" xr10:uidLastSave="{00000000-0000-0000-0000-000000000000}"/>
  <bookViews>
    <workbookView xWindow="-108" yWindow="-108" windowWidth="23256" windowHeight="12456" activeTab="2" xr2:uid="{01F5D8D2-3B2B-4543-8BA7-636E6F115C71}"/>
  </bookViews>
  <sheets>
    <sheet name="Conflict_RawData" sheetId="1" r:id="rId1"/>
    <sheet name="Processed_Data" sheetId="2" r:id="rId2"/>
    <sheet name="Pivot_Table" sheetId="3" r:id="rId3"/>
    <sheet name=" Dashboard" sheetId="4" r:id="rId4"/>
  </sheets>
  <definedNames>
    <definedName name="Conflict_Data">ConflictData[]</definedName>
    <definedName name="Slicer_conflict_nam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J3" i="2"/>
  <c r="J4" i="2"/>
  <c r="J5" i="2"/>
  <c r="J6" i="2"/>
  <c r="J7" i="2"/>
  <c r="J8" i="2"/>
  <c r="J9" i="2"/>
  <c r="J10" i="2"/>
  <c r="J11" i="2"/>
  <c r="J12" i="2"/>
  <c r="J13" i="2"/>
  <c r="J14" i="2"/>
  <c r="J15" i="2"/>
  <c r="J16" i="2"/>
  <c r="J17" i="2"/>
  <c r="J18" i="2"/>
  <c r="J19" i="2"/>
  <c r="J20" i="2"/>
  <c r="J21" i="2"/>
  <c r="J22" i="2"/>
  <c r="J23" i="2"/>
  <c r="J24" i="2"/>
  <c r="J25" i="2"/>
  <c r="J26" i="2"/>
  <c r="J27" i="2"/>
  <c r="J28" i="2"/>
  <c r="J2" i="2"/>
  <c r="E3" i="2"/>
  <c r="E2" i="2"/>
  <c r="E4" i="2"/>
  <c r="E5" i="2"/>
  <c r="E6" i="2"/>
  <c r="E7" i="2"/>
  <c r="E8" i="2"/>
  <c r="E9" i="2"/>
  <c r="E10" i="2"/>
  <c r="E11" i="2"/>
  <c r="E12" i="2"/>
  <c r="E13" i="2"/>
  <c r="E14" i="2"/>
  <c r="E15" i="2"/>
  <c r="E16" i="2"/>
  <c r="E17" i="2"/>
  <c r="E18" i="2"/>
  <c r="E19" i="2"/>
  <c r="E20" i="2"/>
  <c r="E21" i="2"/>
  <c r="E22" i="2"/>
  <c r="E23" i="2"/>
  <c r="E24" i="2"/>
  <c r="E25" i="2"/>
  <c r="E26" i="2"/>
  <c r="E27" i="2"/>
  <c r="E28"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<sst xmlns="http://schemas.openxmlformats.org/spreadsheetml/2006/main" count="550" uniqueCount="210">
  <si>
    <t>conflict_id</t>
  </si>
  <si>
    <t>conflict_name</t>
  </si>
  <si>
    <t>total_dead_est_low</t>
  </si>
  <si>
    <t>total_dead_est_high</t>
  </si>
  <si>
    <t>military_killed_side_A</t>
  </si>
  <si>
    <t>military_killed_side_B</t>
  </si>
  <si>
    <t>civilian_killed_est</t>
  </si>
  <si>
    <t>civ_men_pct</t>
  </si>
  <si>
    <t>civ_women_pct</t>
  </si>
  <si>
    <t>civ_children_pct</t>
  </si>
  <si>
    <t>civ_children_abs_est</t>
  </si>
  <si>
    <t>wounded_total_est</t>
  </si>
  <si>
    <t>pows_taken</t>
  </si>
  <si>
    <t>missing_persons</t>
  </si>
  <si>
    <t>displaced_persons</t>
  </si>
  <si>
    <t>refugees_abroad</t>
  </si>
  <si>
    <t>total_affected_pop</t>
  </si>
  <si>
    <t>famine_disease_deaths_indirect</t>
  </si>
  <si>
    <t>journalists_killed</t>
  </si>
  <si>
    <t>aid_workers_killed</t>
  </si>
  <si>
    <t>data_source</t>
  </si>
  <si>
    <t>reliability_score</t>
  </si>
  <si>
    <t>C01</t>
  </si>
  <si>
    <t>1948 Arab-Israeli War</t>
  </si>
  <si>
    <t>~1,050</t>
  </si>
  <si>
    <t>~20,000</t>
  </si>
  <si>
    <t>~7,000</t>
  </si>
  <si>
    <t>~1,200</t>
  </si>
  <si>
    <t>~750,000</t>
  </si>
  <si>
    <t>700,000+</t>
  </si>
  <si>
    <t>~4M affected</t>
  </si>
  <si>
    <t>Benny Morris; Israeli MoD; UNRWA</t>
  </si>
  <si>
    <t>C02</t>
  </si>
  <si>
    <t>Suez Crisis</t>
  </si>
  <si>
    <t>~180</t>
  </si>
  <si>
    <t>~4,000</t>
  </si>
  <si>
    <t>~6,000</t>
  </si>
  <si>
    <t>~500</t>
  </si>
  <si>
    <t>~230,000</t>
  </si>
  <si>
    <t>~500k</t>
  </si>
  <si>
    <t>SIPRI; Britannica</t>
  </si>
  <si>
    <t>C03</t>
  </si>
  <si>
    <t>Six-Day War</t>
  </si>
  <si>
    <t>~250</t>
  </si>
  <si>
    <t>~45,000</t>
  </si>
  <si>
    <t>~10,000</t>
  </si>
  <si>
    <t>~1,000</t>
  </si>
  <si>
    <t>~350,000</t>
  </si>
  <si>
    <t>300,000+</t>
  </si>
  <si>
    <t>~1M</t>
  </si>
  <si>
    <t>CFR; Wikipedia; IDF</t>
  </si>
  <si>
    <t>C04</t>
  </si>
  <si>
    <t>War of Attrition</t>
  </si>
  <si>
    <t>~60</t>
  </si>
  <si>
    <t>~3,000</t>
  </si>
  <si>
    <t>~200</t>
  </si>
  <si>
    <t>â€”</t>
  </si>
  <si>
    <t>~300k</t>
  </si>
  <si>
    <t>IISS</t>
  </si>
  <si>
    <t>C05</t>
  </si>
  <si>
    <t>Black September</t>
  </si>
  <si>
    <t>~600</t>
  </si>
  <si>
    <t>~2,000</t>
  </si>
  <si>
    <t>~100,000</t>
  </si>
  <si>
    <t>~50,000</t>
  </si>
  <si>
    <t>Amnesty; PLO sources</t>
  </si>
  <si>
    <t>C06</t>
  </si>
  <si>
    <t>Yom Kippur War</t>
  </si>
  <si>
    <t>~35,000</t>
  </si>
  <si>
    <t>~300,000</t>
  </si>
  <si>
    <t>100,000+</t>
  </si>
  <si>
    <t>IDF; Egyptian MoD; Britannica</t>
  </si>
  <si>
    <t>C07</t>
  </si>
  <si>
    <t>Lebanese Civil War</t>
  </si>
  <si>
    <t>~15,000</t>
  </si>
  <si>
    <t>~17,000</t>
  </si>
  <si>
    <t>~1,000,000</t>
  </si>
  <si>
    <t>~500,000</t>
  </si>
  <si>
    <t>~3M</t>
  </si>
  <si>
    <t>Fisk; ICRC; Lebanese govt</t>
  </si>
  <si>
    <t>C08</t>
  </si>
  <si>
    <t>Op. Litani 1978</t>
  </si>
  <si>
    <t>~300</t>
  </si>
  <si>
    <t>~250,000</t>
  </si>
  <si>
    <t>UN; ICRC</t>
  </si>
  <si>
    <t>C09</t>
  </si>
  <si>
    <t>Iran-Iraq War</t>
  </si>
  <si>
    <t>~30,000</t>
  </si>
  <si>
    <t>~1,500,000</t>
  </si>
  <si>
    <t>~80,000</t>
  </si>
  <si>
    <t>~4,000,000</t>
  </si>
  <si>
    <t>~2,500,000</t>
  </si>
  <si>
    <t>~10M</t>
  </si>
  <si>
    <t>Kurzman; Britannica; CorrelatesOfWar</t>
  </si>
  <si>
    <t>C10</t>
  </si>
  <si>
    <t>Israeli Invasion Lebanon 1982</t>
  </si>
  <si>
    <t>~6,100</t>
  </si>
  <si>
    <t>~8,000</t>
  </si>
  <si>
    <t>~800,000</t>
  </si>
  <si>
    <t>~400,000</t>
  </si>
  <si>
    <t>~2M</t>
  </si>
  <si>
    <t>Amnesty; IDF; Lebanese govt</t>
  </si>
  <si>
    <t>C11</t>
  </si>
  <si>
    <t>Gulf War 1991</t>
  </si>
  <si>
    <t>~75,000</t>
  </si>
  <si>
    <t>~5,000</t>
  </si>
  <si>
    <t>~5,000,000</t>
  </si>
  <si>
    <t>~3,000,000</t>
  </si>
  <si>
    <t>~8M</t>
  </si>
  <si>
    <t>CENTCOM; SIPRI</t>
  </si>
  <si>
    <t>C12</t>
  </si>
  <si>
    <t>Iraqi No-Fly Zones</t>
  </si>
  <si>
    <t>~150</t>
  </si>
  <si>
    <t>GlobalSecurity</t>
  </si>
  <si>
    <t>C13</t>
  </si>
  <si>
    <t>1st Intifada</t>
  </si>
  <si>
    <t>~260</t>
  </si>
  <si>
    <t>B'Tselem; IDF</t>
  </si>
  <si>
    <t>C14</t>
  </si>
  <si>
    <t>2nd Intifada</t>
  </si>
  <si>
    <t>~700</t>
  </si>
  <si>
    <t>~800</t>
  </si>
  <si>
    <t>~200,000</t>
  </si>
  <si>
    <t>B'Tselem; IDF; OCHA</t>
  </si>
  <si>
    <t>C15</t>
  </si>
  <si>
    <t>Iraq War OIF (total)</t>
  </si>
  <si>
    <t>~70,000</t>
  </si>
  <si>
    <t>~4,500,000</t>
  </si>
  <si>
    <t>~2,000,000</t>
  </si>
  <si>
    <t>~15M</t>
  </si>
  <si>
    <t>Iraq Body Count; Lancet; UNHCR</t>
  </si>
  <si>
    <t>C16</t>
  </si>
  <si>
    <t>Iraqi Insurgency AQI</t>
  </si>
  <si>
    <t>SIGACT; IraqBodyCount</t>
  </si>
  <si>
    <t>C17</t>
  </si>
  <si>
    <t>2006 Lebanon War</t>
  </si>
  <si>
    <t>~420</t>
  </si>
  <si>
    <t>~4,400</t>
  </si>
  <si>
    <t>~400</t>
  </si>
  <si>
    <t>~1.5M</t>
  </si>
  <si>
    <t>OCHA; IDF; HRW</t>
  </si>
  <si>
    <t>C18</t>
  </si>
  <si>
    <t>Gaza Cast Lead</t>
  </si>
  <si>
    <t>~490</t>
  </si>
  <si>
    <t>~5,300</t>
  </si>
  <si>
    <t>~100</t>
  </si>
  <si>
    <t>B'Tselem; IDF; UN</t>
  </si>
  <si>
    <t>C19</t>
  </si>
  <si>
    <t>Gaza Pillar of Defense</t>
  </si>
  <si>
    <t>IDF; OCHA</t>
  </si>
  <si>
    <t>C20</t>
  </si>
  <si>
    <t>Gaza Protective Edge</t>
  </si>
  <si>
    <t>~640</t>
  </si>
  <si>
    <t>~11,000</t>
  </si>
  <si>
    <t>B'Tselem; UN; IDF</t>
  </si>
  <si>
    <t>C21</t>
  </si>
  <si>
    <t>Syrian Civil War</t>
  </si>
  <si>
    <t>~92,000</t>
  </si>
  <si>
    <t>~13,000,000</t>
  </si>
  <si>
    <t>~6,600,000</t>
  </si>
  <si>
    <t>~20M</t>
  </si>
  <si>
    <t>SNHR; OHCHR; SOHR</t>
  </si>
  <si>
    <t>C22</t>
  </si>
  <si>
    <t>ISIS War OIR</t>
  </si>
  <si>
    <t>~40,000</t>
  </si>
  <si>
    <t>~12,000</t>
  </si>
  <si>
    <t>~8,000,000</t>
  </si>
  <si>
    <t>~3,500,000</t>
  </si>
  <si>
    <t>CJTF-OIR; Airwars; ACLED</t>
  </si>
  <si>
    <t>C23</t>
  </si>
  <si>
    <t>Yemen Civil War</t>
  </si>
  <si>
    <t>~32,000</t>
  </si>
  <si>
    <t>~23M</t>
  </si>
  <si>
    <t>ACLED; OCHA; WHO</t>
  </si>
  <si>
    <t>C24</t>
  </si>
  <si>
    <t>Gaza War Al-Aqsa Flood</t>
  </si>
  <si>
    <t>~29,000</t>
  </si>
  <si>
    <t>~251</t>
  </si>
  <si>
    <t>~2.3M</t>
  </si>
  <si>
    <t>GHM; IDF; OHCHR; Wikipedia</t>
  </si>
  <si>
    <t>C25</t>
  </si>
  <si>
    <t>Israel-Lebanon War 2024</t>
  </si>
  <si>
    <t>~1,200,000</t>
  </si>
  <si>
    <t>Lebanese DDRM; IDF; Reuters</t>
  </si>
  <si>
    <t>C26</t>
  </si>
  <si>
    <t>Twelve-Day War 2025</t>
  </si>
  <si>
    <t>~2</t>
  </si>
  <si>
    <t>~5M</t>
  </si>
  <si>
    <t>Wikipedia IT; Al Jazeera; IDF</t>
  </si>
  <si>
    <t>C27</t>
  </si>
  <si>
    <t>Iran War Op. Epic Fury (Mar 2026)</t>
  </si>
  <si>
    <t>~390</t>
  </si>
  <si>
    <t>Al Jazeera live tracker; SCMP; Canberra Times</t>
  </si>
  <si>
    <t>average_Dead_estimate</t>
  </si>
  <si>
    <t>civ_children_absolute_est</t>
  </si>
  <si>
    <t>civ_men_absolute_est</t>
  </si>
  <si>
    <t>civ_women_absolute_est</t>
  </si>
  <si>
    <t>Row Labels</t>
  </si>
  <si>
    <t xml:space="preserve"> </t>
  </si>
  <si>
    <t>Sum of total_affected_pop</t>
  </si>
  <si>
    <t>Grand Total</t>
  </si>
  <si>
    <t>Sum of civ_men_absolute_est</t>
  </si>
  <si>
    <t>Sum of civ_women_absolute_est</t>
  </si>
  <si>
    <t>Sum of civ_children_absolute_est</t>
  </si>
  <si>
    <t>Sum of displaced_persons</t>
  </si>
  <si>
    <t>Sum of refugees_abroad</t>
  </si>
  <si>
    <t>Sum of average_Dead_estimate</t>
  </si>
  <si>
    <t>Sum of famine_disease_deaths_indirect</t>
  </si>
  <si>
    <t>Count of conflict_id</t>
  </si>
  <si>
    <t>Average of reliability_score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</si>
</sst>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0.1499984740745262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
      <patternFill patternType="solid">
        <fgColor theme="0"/>
        <bgColor indexed="64"/>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33" borderId="0" xfId="0" applyFill="1"/>
    <xf numFmtId="0" fontId="16" fillId="0" borderId="0" xfId="0" applyFont="1"/>
    <xf numFmtId="2" fontId="0" fillId="0" borderId="0" xfId="0" applyNumberFormat="1"/>
    <xf numFmtId="0" fontId="0" fillId="34" borderId="0" xfId="0" applyFill="1"/>
    <xf numFmtId="0" fontId="18" fillId="35"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sz val="11"/>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13" formatCode="0%"/>
    </dxf>
    <dxf>
      <numFmt numFmtId="13"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06/relationships/rdRichValue" Target="richData/rdrichvalue.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[Conflict_Dashboard.xlsx]Pivot_Table!PivotTable1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Deadliest Conflicts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94169775779216"/>
          <c:y val="0.18614220476425722"/>
          <c:w val="0.51429130484653429"/>
          <c:h val="0.70634672010084765"/>
        </c:manualLayout>
      </c:layout>
      <c:barChart>
        <c:barDir val="bar"/>
        <c:grouping val="clustered"/>
        <c:varyColors val="0"/>
        <c:ser>
          <c:idx val="0"/>
          <c:order val="0"/>
          <c:tx>
            <c:strRef>
              <c:f>Pivot_Table!$B$1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Pivot_Table!$A$2:$A$28</c:f>
              <c:strCache>
                <c:ptCount val="27"/>
                <c:pt idx="0">
                  <c:v>Iran-Iraq War</c:v>
                </c:pt>
                <c:pt idx="1">
                  <c:v>Syrian Civil War</c:v>
                </c:pt>
                <c:pt idx="2">
                  <c:v>Yemen Civil War</c:v>
                </c:pt>
                <c:pt idx="3">
                  <c:v>Iraq War OIF (total)</c:v>
                </c:pt>
                <c:pt idx="4">
                  <c:v>Lebanese Civil War</c:v>
                </c:pt>
                <c:pt idx="5">
                  <c:v>Gaza War Al-Aqsa Flood</c:v>
                </c:pt>
                <c:pt idx="6">
                  <c:v>ISIS War OIR</c:v>
                </c:pt>
                <c:pt idx="7">
                  <c:v>Gulf War 1991</c:v>
                </c:pt>
                <c:pt idx="8">
                  <c:v>Iraqi Insurgency AQI</c:v>
                </c:pt>
                <c:pt idx="9">
                  <c:v>Israeli Invasion Lebanon 1982</c:v>
                </c:pt>
                <c:pt idx="10">
                  <c:v>Six-Day War</c:v>
                </c:pt>
                <c:pt idx="11">
                  <c:v>Yom Kippur War</c:v>
                </c:pt>
                <c:pt idx="12">
                  <c:v>1948 Arab-Israeli War</c:v>
                </c:pt>
                <c:pt idx="13">
                  <c:v>Israel-Lebanon War 2024</c:v>
                </c:pt>
                <c:pt idx="14">
                  <c:v>2nd Intifada</c:v>
                </c:pt>
                <c:pt idx="15">
                  <c:v>Black September</c:v>
                </c:pt>
                <c:pt idx="16">
                  <c:v>Twelve-Day War 2025</c:v>
                </c:pt>
                <c:pt idx="17">
                  <c:v>Iraqi No-Fly Zones</c:v>
                </c:pt>
                <c:pt idx="18">
                  <c:v>Gaza Protective Edge</c:v>
                </c:pt>
                <c:pt idx="19">
                  <c:v>Suez Crisis</c:v>
                </c:pt>
                <c:pt idx="20">
                  <c:v>Iran War Op. Epic Fury (Mar 2026)</c:v>
                </c:pt>
                <c:pt idx="21">
                  <c:v>Op. Litani 1978</c:v>
                </c:pt>
                <c:pt idx="22">
                  <c:v>1st Intifada</c:v>
                </c:pt>
                <c:pt idx="23">
                  <c:v>2006 Lebanon War</c:v>
                </c:pt>
                <c:pt idx="24">
                  <c:v>Gaza Cast Lead</c:v>
                </c:pt>
                <c:pt idx="25">
                  <c:v>War of Attrition</c:v>
                </c:pt>
                <c:pt idx="26">
                  <c:v>Gaza Pillar of Defense</c:v>
                </c:pt>
              </c:strCache>
            </c:strRef>
          </c:cat>
          <c:val>
            <c:numRef>
              <c:f>Pivot_Table!$B$2:$B$28</c:f>
              <c:numCache>
                <c:formatCode>General</c:formatCode>
                <c:ptCount val="27"/>
                <c:pt idx="25">
                  <c:v>#N/A</c:v>
                </c:pt>
                <c:pt idx="26">
                  <c:v>1575</c:v>
                </c:pt>
              </c:numCache>
            </c:numRef>
          </c:val>
          <c:extLst>
            <c:ext xmlns:c16="http://schemas.microsoft.com/office/drawing/2014/chart" uri="{C3380CC4-5D6E-409C-BE32-E72D297353CC}">
              <c16:uniqueId val="{00000004-71A4-4CAD-B588-E8132A5F0D04}"/>
            </c:ext>
          </c:extLst>
        </c:ser>
        <c:dLbls>
          <c:dLblPos val="inEnd"/>
          <c:showLegendKey val="0"/>
          <c:showVal val="1"/>
          <c:showCatName val="0"/>
          <c:showSerName val="0"/>
          <c:showPercent val="0"/>
          <c:showBubbleSize val="0"/>
        </c:dLbls>
        <c:gapWidth val="115"/>
        <c:overlap val="-20"/>
        <c:axId val="1016063968"/>
        <c:axId val="1012011472"/>
      </c:barChart>
      <c:catAx>
        <c:axId val="10160639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011472"/>
        <c:crosses val="autoZero"/>
        <c:auto val="1"/>
        <c:lblAlgn val="ctr"/>
        <c:lblOffset val="100"/>
        <c:noMultiLvlLbl val="0"/>
      </c:catAx>
      <c:valAx>
        <c:axId val="10120114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606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[Conflict_Dashboard.xlsx]Pivot_Table!PivotTable2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Affected Populations</a:t>
            </a:r>
          </a:p>
          <a:p>
            <a:pPr>
              <a:defRPr/>
            </a:pPr>
            <a:endParaRPr lang="en-US"/>
          </a:p>
        </c:rich>
      </c:tx>
      <c:layout>
        <c:manualLayout>
          <c:xMode val="edge"/>
          <c:yMode val="edge"/>
          <c:x val="0.25285714285714284"/>
          <c:y val="2.0046620230591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48228346456696"/>
          <c:y val="0.19847003499562554"/>
          <c:w val="0.67593744531933508"/>
          <c:h val="0.32298374161563137"/>
        </c:manualLayout>
      </c:layout>
      <c:barChart>
        <c:barDir val="col"/>
        <c:grouping val="clustered"/>
        <c:varyColors val="0"/>
        <c:ser>
          <c:idx val="0"/>
          <c:order val="0"/>
          <c:tx>
            <c:strRef>
              <c:f>Pivot_Table!$M$3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Pivot_Table!$L$4:$L$30</c:f>
              <c:strCache>
                <c:ptCount val="27"/>
                <c:pt idx="0">
                  <c:v>Yemen Civil War</c:v>
                </c:pt>
                <c:pt idx="1">
                  <c:v>Syrian Civil War</c:v>
                </c:pt>
                <c:pt idx="2">
                  <c:v>ISIS War OIR</c:v>
                </c:pt>
                <c:pt idx="3">
                  <c:v>Iraq War OIF (total)</c:v>
                </c:pt>
                <c:pt idx="4">
                  <c:v>Iran War Op. Epic Fury (Mar 2026)</c:v>
                </c:pt>
                <c:pt idx="5">
                  <c:v>Iran-Iraq War</c:v>
                </c:pt>
                <c:pt idx="6">
                  <c:v>Gulf War 1991</c:v>
                </c:pt>
                <c:pt idx="7">
                  <c:v>Iraqi Insurgency AQI</c:v>
                </c:pt>
                <c:pt idx="8">
                  <c:v>Twelve-Day War 2025</c:v>
                </c:pt>
                <c:pt idx="9">
                  <c:v>1948 Arab-Israeli War</c:v>
                </c:pt>
                <c:pt idx="10">
                  <c:v>Lebanese Civil War</c:v>
                </c:pt>
                <c:pt idx="11">
                  <c:v>2nd Intifada</c:v>
                </c:pt>
                <c:pt idx="12">
                  <c:v>Gaza War Al-Aqsa Flood</c:v>
                </c:pt>
                <c:pt idx="13">
                  <c:v>1st Intifada</c:v>
                </c:pt>
                <c:pt idx="14">
                  <c:v>Israeli Invasion Lebanon 1982</c:v>
                </c:pt>
                <c:pt idx="15">
                  <c:v>Gaza Protective Edge</c:v>
                </c:pt>
                <c:pt idx="16">
                  <c:v>Iraqi No-Fly Zones</c:v>
                </c:pt>
                <c:pt idx="17">
                  <c:v>Israel-Lebanon War 2024</c:v>
                </c:pt>
                <c:pt idx="18">
                  <c:v>Gaza Cast Lead</c:v>
                </c:pt>
                <c:pt idx="19">
                  <c:v>2006 Lebanon War</c:v>
                </c:pt>
                <c:pt idx="20">
                  <c:v>Gaza Pillar of Defense</c:v>
                </c:pt>
                <c:pt idx="21">
                  <c:v>Yom Kippur War</c:v>
                </c:pt>
                <c:pt idx="22">
                  <c:v>Six-Day War</c:v>
                </c:pt>
                <c:pt idx="23">
                  <c:v>Op. Litani 1978</c:v>
                </c:pt>
                <c:pt idx="24">
                  <c:v>Suez Crisis</c:v>
                </c:pt>
                <c:pt idx="25">
                  <c:v>Black September</c:v>
                </c:pt>
                <c:pt idx="26">
                  <c:v>War of Attrition</c:v>
                </c:pt>
              </c:strCache>
            </c:strRef>
          </c:cat>
          <c:val>
            <c:numRef>
              <c:f>Pivot_Table!$M$4:$M$30</c:f>
              <c:numCache>
                <c:formatCode>General</c:formatCode>
                <c:ptCount val="27"/>
                <c:pt idx="0">
                  <c:v>23000000</c:v>
                </c:pt>
                <c:pt idx="1">
                  <c:v>20000000</c:v>
                </c:pt>
                <c:pt idx="2">
                  <c:v>15000000</c:v>
                </c:pt>
                <c:pt idx="3">
                  <c:v>15000000</c:v>
                </c:pt>
                <c:pt idx="4">
                  <c:v>10000000</c:v>
                </c:pt>
                <c:pt idx="5">
                  <c:v>10000000</c:v>
                </c:pt>
                <c:pt idx="6">
                  <c:v>8000000</c:v>
                </c:pt>
                <c:pt idx="7">
                  <c:v>8000000</c:v>
                </c:pt>
                <c:pt idx="8">
                  <c:v>5000000</c:v>
                </c:pt>
                <c:pt idx="9">
                  <c:v>4000000</c:v>
                </c:pt>
                <c:pt idx="10">
                  <c:v>3000000</c:v>
                </c:pt>
                <c:pt idx="11">
                  <c:v>3000000</c:v>
                </c:pt>
                <c:pt idx="12">
                  <c:v>2300000</c:v>
                </c:pt>
                <c:pt idx="13">
                  <c:v>2000000</c:v>
                </c:pt>
                <c:pt idx="14">
                  <c:v>2000000</c:v>
                </c:pt>
                <c:pt idx="15">
                  <c:v>2000000</c:v>
                </c:pt>
                <c:pt idx="16">
                  <c:v>2000000</c:v>
                </c:pt>
                <c:pt idx="17">
                  <c:v>2000000</c:v>
                </c:pt>
                <c:pt idx="18">
                  <c:v>1500000</c:v>
                </c:pt>
                <c:pt idx="19">
                  <c:v>1500000</c:v>
                </c:pt>
                <c:pt idx="20">
                  <c:v>1500000</c:v>
                </c:pt>
                <c:pt idx="21">
                  <c:v>1000000</c:v>
                </c:pt>
                <c:pt idx="22">
                  <c:v>1000000</c:v>
                </c:pt>
                <c:pt idx="23">
                  <c:v>500000</c:v>
                </c:pt>
                <c:pt idx="24">
                  <c:v>500000</c:v>
                </c:pt>
                <c:pt idx="25">
                  <c:v>300000</c:v>
                </c:pt>
                <c:pt idx="26">
                  <c:v>300000</c:v>
                </c:pt>
              </c:numCache>
            </c:numRef>
          </c:val>
          <c:extLst>
            <c:ext xmlns:c16="http://schemas.microsoft.com/office/drawing/2014/chart" uri="{C3380CC4-5D6E-409C-BE32-E72D297353CC}">
              <c16:uniqueId val="{00000004-0546-4477-AE88-085B9FAA26D5}"/>
            </c:ext>
          </c:extLst>
        </c:ser>
        <c:dLbls>
          <c:showLegendKey val="0"/>
          <c:showVal val="0"/>
          <c:showCatName val="0"/>
          <c:showSerName val="0"/>
          <c:showPercent val="0"/>
          <c:showBubbleSize val="0"/>
        </c:dLbls>
        <c:gapWidth val="100"/>
        <c:overlap val="-24"/>
        <c:axId val="1131767776"/>
        <c:axId val="1012017232"/>
      </c:barChart>
      <c:catAx>
        <c:axId val="1131767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017232"/>
        <c:crosses val="autoZero"/>
        <c:auto val="1"/>
        <c:lblAlgn val="ctr"/>
        <c:lblOffset val="100"/>
        <c:noMultiLvlLbl val="0"/>
      </c:catAx>
      <c:valAx>
        <c:axId val="10120172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76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[Conflict_Dashboard.xlsx]Pivot_Table!PivotTable3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Civiliens casualies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51459380830408"/>
          <c:y val="0.19053414469235971"/>
          <c:w val="0.41683078771780036"/>
          <c:h val="0.36843366181661369"/>
        </c:manualLayout>
      </c:layout>
      <c:barChart>
        <c:barDir val="col"/>
        <c:grouping val="stacked"/>
        <c:varyColors val="0"/>
        <c:ser>
          <c:idx val="0"/>
          <c:order val="0"/>
          <c:tx>
            <c:strRef>
              <c:f>Pivot_Table!$B$27</c:f>
              <c:strCache>
                <c:ptCount val="1"/>
                <c:pt idx="0">
                  <c:v>Sum of civ_men_absolute_est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Pivot_Table!$A$28:$A$54</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Pivot_Table!$B$28:$B$54</c:f>
              <c:numCache>
                <c:formatCode>General</c:formatCode>
                <c:ptCount val="27"/>
                <c:pt idx="0">
                  <c:v>1575</c:v>
                </c:pt>
                <c:pt idx="1">
                  <c:v>300</c:v>
                </c:pt>
                <c:pt idx="2">
                  <c:v>420</c:v>
                </c:pt>
                <c:pt idx="3">
                  <c:v>800</c:v>
                </c:pt>
                <c:pt idx="4">
                  <c:v>800</c:v>
                </c:pt>
                <c:pt idx="5">
                  <c:v>105</c:v>
                </c:pt>
                <c:pt idx="6">
                  <c:v>4.5</c:v>
                </c:pt>
                <c:pt idx="7">
                  <c:v>450</c:v>
                </c:pt>
                <c:pt idx="8">
                  <c:v>11600</c:v>
                </c:pt>
                <c:pt idx="9">
                  <c:v>1575</c:v>
                </c:pt>
                <c:pt idx="10">
                  <c:v>494</c:v>
                </c:pt>
                <c:pt idx="11">
                  <c:v>50000</c:v>
                </c:pt>
                <c:pt idx="12">
                  <c:v>70000</c:v>
                </c:pt>
                <c:pt idx="13">
                  <c:v>8750</c:v>
                </c:pt>
                <c:pt idx="14">
                  <c:v>330</c:v>
                </c:pt>
                <c:pt idx="15">
                  <c:v>3849.9999999999995</c:v>
                </c:pt>
                <c:pt idx="16">
                  <c:v>6125</c:v>
                </c:pt>
                <c:pt idx="17">
                  <c:v>1050</c:v>
                </c:pt>
                <c:pt idx="18">
                  <c:v>35000</c:v>
                </c:pt>
                <c:pt idx="19">
                  <c:v>400</c:v>
                </c:pt>
                <c:pt idx="20">
                  <c:v>550</c:v>
                </c:pt>
                <c:pt idx="21">
                  <c:v>300</c:v>
                </c:pt>
                <c:pt idx="22">
                  <c:v>87500</c:v>
                </c:pt>
                <c:pt idx="23">
                  <c:v>800</c:v>
                </c:pt>
                <c:pt idx="24">
                  <c:v>180</c:v>
                </c:pt>
                <c:pt idx="25">
                  <c:v>40000</c:v>
                </c:pt>
                <c:pt idx="26">
                  <c:v>550</c:v>
                </c:pt>
              </c:numCache>
            </c:numRef>
          </c:val>
          <c:extLst>
            <c:ext xmlns:c16="http://schemas.microsoft.com/office/drawing/2014/chart" uri="{C3380CC4-5D6E-409C-BE32-E72D297353CC}">
              <c16:uniqueId val="{0000000A-5FC1-410C-807D-2DA080F2BD7A}"/>
            </c:ext>
          </c:extLst>
        </c:ser>
        <c:ser>
          <c:idx val="1"/>
          <c:order val="1"/>
          <c:tx>
            <c:strRef>
              <c:f>Pivot_Table!$C$27</c:f>
              <c:strCache>
                <c:ptCount val="1"/>
                <c:pt idx="0">
                  <c:v>Sum of civ_women_absolute_est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Pivot_Table!$A$28:$A$54</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Pivot_Table!$C$28:$C$54</c:f>
              <c:numCache>
                <c:formatCode>General</c:formatCode>
                <c:ptCount val="27"/>
                <c:pt idx="0">
                  <c:v>875</c:v>
                </c:pt>
                <c:pt idx="1">
                  <c:v>187.5</c:v>
                </c:pt>
                <c:pt idx="2">
                  <c:v>360</c:v>
                </c:pt>
                <c:pt idx="3">
                  <c:v>500</c:v>
                </c:pt>
                <c:pt idx="4">
                  <c:v>600</c:v>
                </c:pt>
                <c:pt idx="5">
                  <c:v>105</c:v>
                </c:pt>
                <c:pt idx="6">
                  <c:v>4.5</c:v>
                </c:pt>
                <c:pt idx="7">
                  <c:v>405</c:v>
                </c:pt>
                <c:pt idx="8">
                  <c:v>17400</c:v>
                </c:pt>
                <c:pt idx="9">
                  <c:v>875</c:v>
                </c:pt>
                <c:pt idx="10">
                  <c:v>416</c:v>
                </c:pt>
                <c:pt idx="11">
                  <c:v>20000</c:v>
                </c:pt>
                <c:pt idx="12">
                  <c:v>60000</c:v>
                </c:pt>
                <c:pt idx="13">
                  <c:v>6250</c:v>
                </c:pt>
                <c:pt idx="14">
                  <c:v>120</c:v>
                </c:pt>
                <c:pt idx="15">
                  <c:v>2750</c:v>
                </c:pt>
                <c:pt idx="16">
                  <c:v>5250</c:v>
                </c:pt>
                <c:pt idx="17">
                  <c:v>900</c:v>
                </c:pt>
                <c:pt idx="18">
                  <c:v>30000</c:v>
                </c:pt>
                <c:pt idx="19">
                  <c:v>300</c:v>
                </c:pt>
                <c:pt idx="20">
                  <c:v>200</c:v>
                </c:pt>
                <c:pt idx="21">
                  <c:v>120</c:v>
                </c:pt>
                <c:pt idx="22">
                  <c:v>70000</c:v>
                </c:pt>
                <c:pt idx="23">
                  <c:v>600</c:v>
                </c:pt>
                <c:pt idx="24">
                  <c:v>60</c:v>
                </c:pt>
                <c:pt idx="25">
                  <c:v>28000.000000000004</c:v>
                </c:pt>
                <c:pt idx="26">
                  <c:v>200</c:v>
                </c:pt>
              </c:numCache>
            </c:numRef>
          </c:val>
          <c:extLst>
            <c:ext xmlns:c16="http://schemas.microsoft.com/office/drawing/2014/chart" uri="{C3380CC4-5D6E-409C-BE32-E72D297353CC}">
              <c16:uniqueId val="{0000000B-5FC1-410C-807D-2DA080F2BD7A}"/>
            </c:ext>
          </c:extLst>
        </c:ser>
        <c:ser>
          <c:idx val="2"/>
          <c:order val="2"/>
          <c:tx>
            <c:strRef>
              <c:f>Pivot_Table!$D$27</c:f>
              <c:strCache>
                <c:ptCount val="1"/>
                <c:pt idx="0">
                  <c:v>Sum of civ_children_absolute_est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Pivot_Table!$A$28:$A$54</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Pivot_Table!$D$28:$D$54</c:f>
              <c:numCache>
                <c:formatCode>General</c:formatCode>
                <c:ptCount val="27"/>
                <c:pt idx="0">
                  <c:v>1050</c:v>
                </c:pt>
                <c:pt idx="1">
                  <c:v>260</c:v>
                </c:pt>
                <c:pt idx="2">
                  <c:v>420</c:v>
                </c:pt>
                <c:pt idx="3">
                  <c:v>700</c:v>
                </c:pt>
                <c:pt idx="4">
                  <c:v>600</c:v>
                </c:pt>
                <c:pt idx="5">
                  <c:v>490</c:v>
                </c:pt>
                <c:pt idx="6">
                  <c:v>60</c:v>
                </c:pt>
                <c:pt idx="7">
                  <c:v>640</c:v>
                </c:pt>
                <c:pt idx="8">
                  <c:v>29000</c:v>
                </c:pt>
                <c:pt idx="9">
                  <c:v>1050</c:v>
                </c:pt>
                <c:pt idx="10">
                  <c:v>390</c:v>
                </c:pt>
                <c:pt idx="11">
                  <c:v>30000</c:v>
                </c:pt>
                <c:pt idx="12">
                  <c:v>70000</c:v>
                </c:pt>
                <c:pt idx="13">
                  <c:v>10000</c:v>
                </c:pt>
                <c:pt idx="14">
                  <c:v>150</c:v>
                </c:pt>
                <c:pt idx="15">
                  <c:v>4400</c:v>
                </c:pt>
                <c:pt idx="16">
                  <c:v>6100</c:v>
                </c:pt>
                <c:pt idx="17">
                  <c:v>1050</c:v>
                </c:pt>
                <c:pt idx="18">
                  <c:v>35000</c:v>
                </c:pt>
                <c:pt idx="19">
                  <c:v>300</c:v>
                </c:pt>
                <c:pt idx="20">
                  <c:v>250</c:v>
                </c:pt>
                <c:pt idx="21">
                  <c:v>180</c:v>
                </c:pt>
                <c:pt idx="22">
                  <c:v>92000</c:v>
                </c:pt>
                <c:pt idx="23">
                  <c:v>600</c:v>
                </c:pt>
                <c:pt idx="24">
                  <c:v>60</c:v>
                </c:pt>
                <c:pt idx="25">
                  <c:v>32000</c:v>
                </c:pt>
                <c:pt idx="26">
                  <c:v>250</c:v>
                </c:pt>
              </c:numCache>
            </c:numRef>
          </c:val>
          <c:extLst>
            <c:ext xmlns:c16="http://schemas.microsoft.com/office/drawing/2014/chart" uri="{C3380CC4-5D6E-409C-BE32-E72D297353CC}">
              <c16:uniqueId val="{0000000C-5FC1-410C-807D-2DA080F2BD7A}"/>
            </c:ext>
          </c:extLst>
        </c:ser>
        <c:dLbls>
          <c:showLegendKey val="0"/>
          <c:showVal val="0"/>
          <c:showCatName val="0"/>
          <c:showSerName val="0"/>
          <c:showPercent val="0"/>
          <c:showBubbleSize val="0"/>
        </c:dLbls>
        <c:gapWidth val="150"/>
        <c:overlap val="100"/>
        <c:axId val="933455472"/>
        <c:axId val="1015133648"/>
      </c:barChart>
      <c:catAx>
        <c:axId val="933455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133648"/>
        <c:crosses val="autoZero"/>
        <c:auto val="1"/>
        <c:lblAlgn val="ctr"/>
        <c:lblOffset val="100"/>
        <c:noMultiLvlLbl val="0"/>
      </c:catAx>
      <c:valAx>
        <c:axId val="10151336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345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[Conflict_Dashboard.xlsx]Pivot_Table!PivotTable5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Direct vs Indirect Death</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8092738407699"/>
          <c:y val="0.16564596092155148"/>
          <c:w val="0.50219685039370077"/>
          <c:h val="0.38075167687372413"/>
        </c:manualLayout>
      </c:layout>
      <c:barChart>
        <c:barDir val="col"/>
        <c:grouping val="clustered"/>
        <c:varyColors val="0"/>
        <c:ser>
          <c:idx val="0"/>
          <c:order val="0"/>
          <c:tx>
            <c:strRef>
              <c:f>Pivot_Table!$M$34</c:f>
              <c:strCache>
                <c:ptCount val="1"/>
                <c:pt idx="0">
                  <c:v>Sum of average_Dead_estimate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Pivot_Table!$L$35:$L$61</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Pivot_Table!$M$35:$M$61</c:f>
              <c:numCache>
                <c:formatCode>General</c:formatCode>
                <c:ptCount val="27"/>
                <c:pt idx="0">
                  <c:v>10500</c:v>
                </c:pt>
                <c:pt idx="1">
                  <c:v>1500</c:v>
                </c:pt>
                <c:pt idx="2">
                  <c:v>1432.5</c:v>
                </c:pt>
                <c:pt idx="3">
                  <c:v>4000</c:v>
                </c:pt>
                <c:pt idx="4">
                  <c:v>4000</c:v>
                </c:pt>
                <c:pt idx="5">
                  <c:v>1415</c:v>
                </c:pt>
                <c:pt idx="6">
                  <c:v>175</c:v>
                </c:pt>
                <c:pt idx="7">
                  <c:v>2150</c:v>
                </c:pt>
                <c:pt idx="8">
                  <c:v>75000</c:v>
                </c:pt>
                <c:pt idx="9">
                  <c:v>30000</c:v>
                </c:pt>
                <c:pt idx="10">
                  <c:v>1635</c:v>
                </c:pt>
                <c:pt idx="11">
                  <c:v>750000</c:v>
                </c:pt>
                <c:pt idx="12">
                  <c:v>225000</c:v>
                </c:pt>
                <c:pt idx="13">
                  <c:v>15000</c:v>
                </c:pt>
                <c:pt idx="14">
                  <c:v>2250</c:v>
                </c:pt>
                <c:pt idx="15">
                  <c:v>42500</c:v>
                </c:pt>
                <c:pt idx="16">
                  <c:v>12000</c:v>
                </c:pt>
                <c:pt idx="17">
                  <c:v>5650</c:v>
                </c:pt>
                <c:pt idx="18">
                  <c:v>135000</c:v>
                </c:pt>
                <c:pt idx="19">
                  <c:v>1550</c:v>
                </c:pt>
                <c:pt idx="20">
                  <c:v>10875</c:v>
                </c:pt>
                <c:pt idx="21">
                  <c:v>2100</c:v>
                </c:pt>
                <c:pt idx="22">
                  <c:v>425000</c:v>
                </c:pt>
                <c:pt idx="23">
                  <c:v>2500</c:v>
                </c:pt>
                <c:pt idx="24">
                  <c:v>1250</c:v>
                </c:pt>
                <c:pt idx="25">
                  <c:v>263500</c:v>
                </c:pt>
                <c:pt idx="26">
                  <c:v>10510.5</c:v>
                </c:pt>
              </c:numCache>
            </c:numRef>
          </c:val>
          <c:extLst>
            <c:ext xmlns:c16="http://schemas.microsoft.com/office/drawing/2014/chart" uri="{C3380CC4-5D6E-409C-BE32-E72D297353CC}">
              <c16:uniqueId val="{00000007-0764-410E-9C08-7F7B4FED339C}"/>
            </c:ext>
          </c:extLst>
        </c:ser>
        <c:ser>
          <c:idx val="1"/>
          <c:order val="1"/>
          <c:tx>
            <c:strRef>
              <c:f>Pivot_Table!$N$34</c:f>
              <c:strCache>
                <c:ptCount val="1"/>
                <c:pt idx="0">
                  <c:v>Sum of famine_disease_deaths_indirect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Pivot_Table!$L$35:$L$61</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Pivot_Table!$N$35:$N$61</c:f>
              <c:numCache>
                <c:formatCode>General</c:formatCode>
                <c:ptCount val="27"/>
                <c:pt idx="0">
                  <c:v>500</c:v>
                </c:pt>
                <c:pt idx="1">
                  <c:v>200</c:v>
                </c:pt>
                <c:pt idx="2">
                  <c:v>300</c:v>
                </c:pt>
                <c:pt idx="3">
                  <c:v>500</c:v>
                </c:pt>
                <c:pt idx="4">
                  <c:v>200</c:v>
                </c:pt>
                <c:pt idx="5">
                  <c:v>200</c:v>
                </c:pt>
                <c:pt idx="6">
                  <c:v>30</c:v>
                </c:pt>
                <c:pt idx="7">
                  <c:v>500</c:v>
                </c:pt>
                <c:pt idx="8">
                  <c:v>20000</c:v>
                </c:pt>
                <c:pt idx="9">
                  <c:v>2000</c:v>
                </c:pt>
                <c:pt idx="10">
                  <c:v>100</c:v>
                </c:pt>
                <c:pt idx="11">
                  <c:v>50000</c:v>
                </c:pt>
                <c:pt idx="12">
                  <c:v>100000</c:v>
                </c:pt>
                <c:pt idx="13">
                  <c:v>20000</c:v>
                </c:pt>
                <c:pt idx="14">
                  <c:v>200</c:v>
                </c:pt>
                <c:pt idx="15">
                  <c:v>20000</c:v>
                </c:pt>
                <c:pt idx="16">
                  <c:v>5000</c:v>
                </c:pt>
                <c:pt idx="17">
                  <c:v>500</c:v>
                </c:pt>
                <c:pt idx="18">
                  <c:v>30000</c:v>
                </c:pt>
                <c:pt idx="19">
                  <c:v>200</c:v>
                </c:pt>
                <c:pt idx="20">
                  <c:v>200</c:v>
                </c:pt>
                <c:pt idx="21">
                  <c:v>100</c:v>
                </c:pt>
                <c:pt idx="22">
                  <c:v>150000</c:v>
                </c:pt>
                <c:pt idx="23">
                  <c:v>200</c:v>
                </c:pt>
                <c:pt idx="24">
                  <c:v>50</c:v>
                </c:pt>
                <c:pt idx="25">
                  <c:v>200000</c:v>
                </c:pt>
                <c:pt idx="26">
                  <c:v>150</c:v>
                </c:pt>
              </c:numCache>
            </c:numRef>
          </c:val>
          <c:extLst>
            <c:ext xmlns:c16="http://schemas.microsoft.com/office/drawing/2014/chart" uri="{C3380CC4-5D6E-409C-BE32-E72D297353CC}">
              <c16:uniqueId val="{00000008-0764-410E-9C08-7F7B4FED339C}"/>
            </c:ext>
          </c:extLst>
        </c:ser>
        <c:dLbls>
          <c:showLegendKey val="0"/>
          <c:showVal val="0"/>
          <c:showCatName val="0"/>
          <c:showSerName val="0"/>
          <c:showPercent val="0"/>
          <c:showBubbleSize val="0"/>
        </c:dLbls>
        <c:gapWidth val="100"/>
        <c:overlap val="-24"/>
        <c:axId val="1038620400"/>
        <c:axId val="1015146608"/>
      </c:barChart>
      <c:catAx>
        <c:axId val="103862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146608"/>
        <c:crosses val="autoZero"/>
        <c:auto val="1"/>
        <c:lblAlgn val="ctr"/>
        <c:lblOffset val="100"/>
        <c:noMultiLvlLbl val="0"/>
      </c:catAx>
      <c:valAx>
        <c:axId val="1015146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62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[Conflict_Dashboard.xlsx]Pivot_Table!PivotTable4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Displaced vs Refugees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11773915141494"/>
          <c:y val="0.27877264228359122"/>
          <c:w val="0.79119547342358443"/>
          <c:h val="0.28977380157360411"/>
        </c:manualLayout>
      </c:layout>
      <c:barChart>
        <c:barDir val="col"/>
        <c:grouping val="clustered"/>
        <c:varyColors val="0"/>
        <c:ser>
          <c:idx val="0"/>
          <c:order val="0"/>
          <c:tx>
            <c:strRef>
              <c:f>Pivot_Table!$H$26</c:f>
              <c:strCache>
                <c:ptCount val="1"/>
                <c:pt idx="0">
                  <c:v>Sum of displaced_persons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Pivot_Table!$G$27:$G$54</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Pivot_Table!$H$27:$H$54</c:f>
              <c:numCache>
                <c:formatCode>General</c:formatCode>
                <c:ptCount val="27"/>
                <c:pt idx="0">
                  <c:v>750000</c:v>
                </c:pt>
                <c:pt idx="1">
                  <c:v>100000</c:v>
                </c:pt>
                <c:pt idx="2">
                  <c:v>1000000</c:v>
                </c:pt>
                <c:pt idx="3">
                  <c:v>200000</c:v>
                </c:pt>
                <c:pt idx="4">
                  <c:v>100000</c:v>
                </c:pt>
                <c:pt idx="5">
                  <c:v>250000</c:v>
                </c:pt>
                <c:pt idx="6">
                  <c:v>100000</c:v>
                </c:pt>
                <c:pt idx="7">
                  <c:v>500000</c:v>
                </c:pt>
                <c:pt idx="8">
                  <c:v>2000000</c:v>
                </c:pt>
                <c:pt idx="9">
                  <c:v>5000000</c:v>
                </c:pt>
                <c:pt idx="10">
                  <c:v>1000000</c:v>
                </c:pt>
                <c:pt idx="11">
                  <c:v>4000000</c:v>
                </c:pt>
                <c:pt idx="12">
                  <c:v>4500000</c:v>
                </c:pt>
                <c:pt idx="13">
                  <c:v>2000000</c:v>
                </c:pt>
                <c:pt idx="15">
                  <c:v>8000000</c:v>
                </c:pt>
                <c:pt idx="16">
                  <c:v>800000</c:v>
                </c:pt>
                <c:pt idx="17">
                  <c:v>1200000</c:v>
                </c:pt>
                <c:pt idx="18">
                  <c:v>1000000</c:v>
                </c:pt>
                <c:pt idx="19">
                  <c:v>250000</c:v>
                </c:pt>
                <c:pt idx="20">
                  <c:v>350000</c:v>
                </c:pt>
                <c:pt idx="21">
                  <c:v>230000</c:v>
                </c:pt>
                <c:pt idx="22">
                  <c:v>13000000</c:v>
                </c:pt>
                <c:pt idx="23">
                  <c:v>500000</c:v>
                </c:pt>
                <c:pt idx="25">
                  <c:v>4500000</c:v>
                </c:pt>
                <c:pt idx="26">
                  <c:v>300000</c:v>
                </c:pt>
              </c:numCache>
            </c:numRef>
          </c:val>
          <c:extLst>
            <c:ext xmlns:c16="http://schemas.microsoft.com/office/drawing/2014/chart" uri="{C3380CC4-5D6E-409C-BE32-E72D297353CC}">
              <c16:uniqueId val="{00000000-9E73-4245-881A-7DE5BA10D624}"/>
            </c:ext>
          </c:extLst>
        </c:ser>
        <c:ser>
          <c:idx val="1"/>
          <c:order val="1"/>
          <c:tx>
            <c:strRef>
              <c:f>Pivot_Table!$I$26</c:f>
              <c:strCache>
                <c:ptCount val="1"/>
                <c:pt idx="0">
                  <c:v>Sum of refugees_abroad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Pivot_Table!$G$27:$G$54</c:f>
              <c:strCache>
                <c:ptCount val="27"/>
                <c:pt idx="0">
                  <c:v>1948 Arab-Israeli War</c:v>
                </c:pt>
                <c:pt idx="1">
                  <c:v>1st Intifada</c:v>
                </c:pt>
                <c:pt idx="2">
                  <c:v>2006 Lebanon War</c:v>
                </c:pt>
                <c:pt idx="3">
                  <c:v>2nd Intifada</c:v>
                </c:pt>
                <c:pt idx="4">
                  <c:v>Black September</c:v>
                </c:pt>
                <c:pt idx="5">
                  <c:v>Gaza Cast Lead</c:v>
                </c:pt>
                <c:pt idx="6">
                  <c:v>Gaza Pillar of Defense</c:v>
                </c:pt>
                <c:pt idx="7">
                  <c:v>Gaza Protective Edge</c:v>
                </c:pt>
                <c:pt idx="8">
                  <c:v>Gaza War Al-Aqsa Flood</c:v>
                </c:pt>
                <c:pt idx="9">
                  <c:v>Gulf War 1991</c:v>
                </c:pt>
                <c:pt idx="10">
                  <c:v>Iran War Op. Epic Fury (Mar 2026)</c:v>
                </c:pt>
                <c:pt idx="11">
                  <c:v>Iran-Iraq War</c:v>
                </c:pt>
                <c:pt idx="12">
                  <c:v>Iraq War OIF (total)</c:v>
                </c:pt>
                <c:pt idx="13">
                  <c:v>Iraqi Insurgency AQI</c:v>
                </c:pt>
                <c:pt idx="14">
                  <c:v>Iraqi No-Fly Zones</c:v>
                </c:pt>
                <c:pt idx="15">
                  <c:v>ISIS War OIR</c:v>
                </c:pt>
                <c:pt idx="16">
                  <c:v>Israeli Invasion Lebanon 1982</c:v>
                </c:pt>
                <c:pt idx="17">
                  <c:v>Israel-Lebanon War 2024</c:v>
                </c:pt>
                <c:pt idx="18">
                  <c:v>Lebanese Civil War</c:v>
                </c:pt>
                <c:pt idx="19">
                  <c:v>Op. Litani 1978</c:v>
                </c:pt>
                <c:pt idx="20">
                  <c:v>Six-Day War</c:v>
                </c:pt>
                <c:pt idx="21">
                  <c:v>Suez Crisis</c:v>
                </c:pt>
                <c:pt idx="22">
                  <c:v>Syrian Civil War</c:v>
                </c:pt>
                <c:pt idx="23">
                  <c:v>Twelve-Day War 2025</c:v>
                </c:pt>
                <c:pt idx="24">
                  <c:v>War of Attrition</c:v>
                </c:pt>
                <c:pt idx="25">
                  <c:v>Yemen Civil War</c:v>
                </c:pt>
                <c:pt idx="26">
                  <c:v>Yom Kippur War</c:v>
                </c:pt>
              </c:strCache>
            </c:strRef>
          </c:cat>
          <c:val>
            <c:numRef>
              <c:f>Pivot_Table!$I$27:$I$54</c:f>
              <c:numCache>
                <c:formatCode>General</c:formatCode>
                <c:ptCount val="27"/>
                <c:pt idx="0">
                  <c:v>700000</c:v>
                </c:pt>
                <c:pt idx="1">
                  <c:v>50000</c:v>
                </c:pt>
                <c:pt idx="2">
                  <c:v>100000</c:v>
                </c:pt>
                <c:pt idx="3">
                  <c:v>50000</c:v>
                </c:pt>
                <c:pt idx="4">
                  <c:v>50000</c:v>
                </c:pt>
                <c:pt idx="8">
                  <c:v>100000</c:v>
                </c:pt>
                <c:pt idx="9">
                  <c:v>3000000</c:v>
                </c:pt>
                <c:pt idx="11">
                  <c:v>2500000</c:v>
                </c:pt>
                <c:pt idx="12">
                  <c:v>2000000</c:v>
                </c:pt>
                <c:pt idx="13">
                  <c:v>500000</c:v>
                </c:pt>
                <c:pt idx="15">
                  <c:v>3500000</c:v>
                </c:pt>
                <c:pt idx="16">
                  <c:v>400000</c:v>
                </c:pt>
                <c:pt idx="17">
                  <c:v>100000</c:v>
                </c:pt>
                <c:pt idx="18">
                  <c:v>500000</c:v>
                </c:pt>
                <c:pt idx="19">
                  <c:v>50000</c:v>
                </c:pt>
                <c:pt idx="20">
                  <c:v>300000</c:v>
                </c:pt>
                <c:pt idx="21">
                  <c:v>50000</c:v>
                </c:pt>
                <c:pt idx="22">
                  <c:v>6600000</c:v>
                </c:pt>
                <c:pt idx="25">
                  <c:v>200000</c:v>
                </c:pt>
                <c:pt idx="26">
                  <c:v>100000</c:v>
                </c:pt>
              </c:numCache>
            </c:numRef>
          </c:val>
          <c:extLst>
            <c:ext xmlns:c16="http://schemas.microsoft.com/office/drawing/2014/chart" uri="{C3380CC4-5D6E-409C-BE32-E72D297353CC}">
              <c16:uniqueId val="{00000001-9E73-4245-881A-7DE5BA10D624}"/>
            </c:ext>
          </c:extLst>
        </c:ser>
        <c:dLbls>
          <c:showLegendKey val="0"/>
          <c:showVal val="0"/>
          <c:showCatName val="0"/>
          <c:showSerName val="0"/>
          <c:showPercent val="0"/>
          <c:showBubbleSize val="0"/>
        </c:dLbls>
        <c:gapWidth val="100"/>
        <c:overlap val="-24"/>
        <c:axId val="1034735872"/>
        <c:axId val="1015051568"/>
      </c:barChart>
      <c:catAx>
        <c:axId val="10347358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051568"/>
        <c:crosses val="autoZero"/>
        <c:auto val="1"/>
        <c:lblAlgn val="ctr"/>
        <c:lblOffset val="100"/>
        <c:noMultiLvlLbl val="0"/>
      </c:catAx>
      <c:valAx>
        <c:axId val="1015051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4735872"/>
        <c:crosses val="autoZero"/>
        <c:crossBetween val="between"/>
      </c:valAx>
      <c:spPr>
        <a:noFill/>
        <a:ln>
          <a:noFill/>
        </a:ln>
        <a:effectLst/>
      </c:spPr>
    </c:plotArea>
    <c:legend>
      <c:legendPos val="r"/>
      <c:layout>
        <c:manualLayout>
          <c:xMode val="edge"/>
          <c:yMode val="edge"/>
          <c:x val="0.81719097590777356"/>
          <c:y val="0.1302093604868432"/>
          <c:w val="0.12823301948549581"/>
          <c:h val="0.24740363447719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44302</xdr:rowOff>
    </xdr:from>
    <xdr:to>
      <xdr:col>24</xdr:col>
      <xdr:colOff>292395</xdr:colOff>
      <xdr:row>4</xdr:row>
      <xdr:rowOff>150628</xdr:rowOff>
    </xdr:to>
    <xdr:sp macro="" textlink="">
      <xdr:nvSpPr>
        <xdr:cNvPr id="5" name="Rectangle: Rounded Corners 4">
          <a:extLst>
            <a:ext uri="{FF2B5EF4-FFF2-40B4-BE49-F238E27FC236}">
              <a16:creationId xmlns:a16="http://schemas.microsoft.com/office/drawing/2014/main" id="{4A1AB0CE-93D4-E1AA-75BE-4864E1090505}"/>
            </a:ext>
          </a:extLst>
        </xdr:cNvPr>
        <xdr:cNvSpPr/>
      </xdr:nvSpPr>
      <xdr:spPr>
        <a:xfrm>
          <a:off x="0" y="44302"/>
          <a:ext cx="14965325" cy="850605"/>
        </a:xfrm>
        <a:prstGeom prst="roundRect">
          <a:avLst/>
        </a:prstGeom>
        <a:solidFill>
          <a:schemeClr val="accent1">
            <a:lumMod val="60000"/>
            <a:lumOff val="40000"/>
          </a:schemeClr>
        </a:solidFill>
        <a:ln/>
      </xdr:spPr>
      <xdr:style>
        <a:lnRef idx="1">
          <a:schemeClr val="accent1"/>
        </a:lnRef>
        <a:fillRef idx="2">
          <a:schemeClr val="accent1"/>
        </a:fillRef>
        <a:effectRef idx="1">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0</xdr:colOff>
      <xdr:row>0</xdr:row>
      <xdr:rowOff>17721</xdr:rowOff>
    </xdr:from>
    <xdr:to>
      <xdr:col>29</xdr:col>
      <xdr:colOff>469604</xdr:colOff>
      <xdr:row>4</xdr:row>
      <xdr:rowOff>150629</xdr:rowOff>
    </xdr:to>
    <xdr:sp macro="" textlink="">
      <xdr:nvSpPr>
        <xdr:cNvPr id="7" name="TextBox 6">
          <a:extLst>
            <a:ext uri="{FF2B5EF4-FFF2-40B4-BE49-F238E27FC236}">
              <a16:creationId xmlns:a16="http://schemas.microsoft.com/office/drawing/2014/main" id="{6AB947F6-6137-567E-71D0-AA53EF878E70}"/>
            </a:ext>
          </a:extLst>
        </xdr:cNvPr>
        <xdr:cNvSpPr txBox="1"/>
      </xdr:nvSpPr>
      <xdr:spPr>
        <a:xfrm>
          <a:off x="0" y="17721"/>
          <a:ext cx="18199395" cy="877187"/>
        </a:xfrm>
        <a:prstGeom prst="rect">
          <a:avLst/>
        </a:prstGeom>
        <a:solidFill>
          <a:schemeClr val="accent1"/>
        </a:solidFill>
        <a:ln w="9525" cmpd="sng">
          <a:solidFill>
            <a:schemeClr val="accent1">
              <a:lumMod val="40000"/>
              <a:lumOff val="60000"/>
              <a:alpha val="0"/>
            </a:schemeClr>
          </a:solidFill>
        </a:ln>
        <a:effectLst>
          <a:outerShdw blurRad="50800" dist="25400" dir="5400000" algn="ctr" rotWithShape="0">
            <a:schemeClr val="accent1">
              <a:alpha val="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Ins="640080" rtlCol="0" anchor="t">
          <a:scene3d>
            <a:camera prst="orthographicFront"/>
            <a:lightRig rig="threePt" dir="t"/>
          </a:scene3d>
          <a:sp3d contourW="101600">
            <a:bevelB w="0" h="0"/>
            <a:contourClr>
              <a:schemeClr val="bg1"/>
            </a:contourClr>
          </a:sp3d>
        </a:bodyPr>
        <a:lstStyle/>
        <a:p>
          <a:pPr algn="ctr"/>
          <a:r>
            <a:rPr lang="en-IN" sz="4400" b="1">
              <a:solidFill>
                <a:schemeClr val="tx1"/>
              </a:solidFill>
              <a:effectLst>
                <a:glow rad="241300">
                  <a:schemeClr val="bg1">
                    <a:alpha val="40000"/>
                  </a:schemeClr>
                </a:glow>
                <a:outerShdw dist="50800" dir="5400000" algn="ctr" rotWithShape="0">
                  <a:schemeClr val="accent1">
                    <a:alpha val="50000"/>
                  </a:schemeClr>
                </a:outerShdw>
              </a:effectLst>
            </a:rPr>
            <a:t>Global Conflict Analysis</a:t>
          </a:r>
          <a:r>
            <a:rPr lang="en-IN" sz="4400" b="1" baseline="0">
              <a:solidFill>
                <a:schemeClr val="tx1"/>
              </a:solidFill>
              <a:effectLst>
                <a:glow rad="241300">
                  <a:schemeClr val="bg1">
                    <a:alpha val="40000"/>
                  </a:schemeClr>
                </a:glow>
                <a:outerShdw dist="50800" dir="5400000" algn="ctr" rotWithShape="0">
                  <a:schemeClr val="accent1">
                    <a:alpha val="50000"/>
                  </a:schemeClr>
                </a:outerShdw>
              </a:effectLst>
            </a:rPr>
            <a:t> Dashbord (</a:t>
          </a:r>
          <a:r>
            <a:rPr lang="en-IN" sz="4400" b="1">
              <a:solidFill>
                <a:schemeClr val="tx1"/>
              </a:solidFill>
              <a:effectLst>
                <a:glow rad="241300">
                  <a:schemeClr val="bg1">
                    <a:alpha val="40000"/>
                  </a:schemeClr>
                </a:glow>
                <a:outerShdw dist="50800" dir="5400000" algn="ctr" rotWithShape="0">
                  <a:schemeClr val="accent1">
                    <a:alpha val="50000"/>
                  </a:schemeClr>
                </a:outerShdw>
              </a:effectLst>
              <a:latin typeface="+mn-lt"/>
              <a:ea typeface="+mn-ea"/>
              <a:cs typeface="+mn-cs"/>
            </a:rPr>
            <a:t>1948-2026</a:t>
          </a:r>
          <a:r>
            <a:rPr lang="en-IN" sz="4400" b="1" baseline="0">
              <a:solidFill>
                <a:schemeClr val="tx1"/>
              </a:solidFill>
              <a:effectLst>
                <a:glow rad="241300">
                  <a:schemeClr val="bg1">
                    <a:alpha val="40000"/>
                  </a:schemeClr>
                </a:glow>
                <a:outerShdw dist="50800" dir="5400000" algn="ctr" rotWithShape="0">
                  <a:schemeClr val="accent1">
                    <a:alpha val="50000"/>
                  </a:schemeClr>
                </a:outerShdw>
              </a:effectLst>
            </a:rPr>
            <a:t>)</a:t>
          </a:r>
          <a:endParaRPr lang="en-IN" sz="4400" b="1">
            <a:solidFill>
              <a:schemeClr val="tx1"/>
            </a:solidFill>
            <a:effectLst>
              <a:glow rad="241300">
                <a:schemeClr val="bg1">
                  <a:alpha val="40000"/>
                </a:schemeClr>
              </a:glow>
              <a:outerShdw dist="50800" dir="5400000" algn="ctr" rotWithShape="0">
                <a:schemeClr val="accent1">
                  <a:alpha val="50000"/>
                </a:schemeClr>
              </a:outerShdw>
            </a:effectLst>
          </a:endParaRPr>
        </a:p>
      </xdr:txBody>
    </xdr:sp>
    <xdr:clientData/>
  </xdr:twoCellAnchor>
  <xdr:twoCellAnchor>
    <xdr:from>
      <xdr:col>0</xdr:col>
      <xdr:colOff>283534</xdr:colOff>
      <xdr:row>17</xdr:row>
      <xdr:rowOff>0</xdr:rowOff>
    </xdr:from>
    <xdr:to>
      <xdr:col>9</xdr:col>
      <xdr:colOff>327836</xdr:colOff>
      <xdr:row>31</xdr:row>
      <xdr:rowOff>124046</xdr:rowOff>
    </xdr:to>
    <xdr:sp macro="" textlink="">
      <xdr:nvSpPr>
        <xdr:cNvPr id="11" name="Rectangle: Rounded Corners 10">
          <a:extLst>
            <a:ext uri="{FF2B5EF4-FFF2-40B4-BE49-F238E27FC236}">
              <a16:creationId xmlns:a16="http://schemas.microsoft.com/office/drawing/2014/main" id="{896816B5-A47F-E233-60AC-72537010DC1C}"/>
            </a:ext>
          </a:extLst>
        </xdr:cNvPr>
        <xdr:cNvSpPr/>
      </xdr:nvSpPr>
      <xdr:spPr>
        <a:xfrm>
          <a:off x="283534" y="3163186"/>
          <a:ext cx="5546651" cy="2729023"/>
        </a:xfrm>
        <a:prstGeom prst="roundRect">
          <a:avLst/>
        </a:prstGeom>
        <a:solidFill>
          <a:schemeClr val="tx1"/>
        </a:solidFill>
        <a:ln w="38100">
          <a:solidFill>
            <a:schemeClr val="tx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10</xdr:col>
      <xdr:colOff>8859</xdr:colOff>
      <xdr:row>16</xdr:row>
      <xdr:rowOff>150628</xdr:rowOff>
    </xdr:from>
    <xdr:to>
      <xdr:col>19</xdr:col>
      <xdr:colOff>230371</xdr:colOff>
      <xdr:row>31</xdr:row>
      <xdr:rowOff>132907</xdr:rowOff>
    </xdr:to>
    <xdr:sp macro="" textlink="">
      <xdr:nvSpPr>
        <xdr:cNvPr id="12" name="Rectangle: Rounded Corners 11">
          <a:extLst>
            <a:ext uri="{FF2B5EF4-FFF2-40B4-BE49-F238E27FC236}">
              <a16:creationId xmlns:a16="http://schemas.microsoft.com/office/drawing/2014/main" id="{80ED453C-A86C-43FE-9C4F-6CE15740441A}"/>
            </a:ext>
          </a:extLst>
        </xdr:cNvPr>
        <xdr:cNvSpPr/>
      </xdr:nvSpPr>
      <xdr:spPr>
        <a:xfrm>
          <a:off x="6122580" y="3127744"/>
          <a:ext cx="5723861" cy="2773326"/>
        </a:xfrm>
        <a:prstGeom prst="roundRect">
          <a:avLst/>
        </a:prstGeom>
        <a:solidFill>
          <a:schemeClr val="tx1"/>
        </a:solidFill>
        <a:ln w="38100">
          <a:solidFill>
            <a:schemeClr val="tx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265812</xdr:colOff>
      <xdr:row>32</xdr:row>
      <xdr:rowOff>134677</xdr:rowOff>
    </xdr:from>
    <xdr:to>
      <xdr:col>9</xdr:col>
      <xdr:colOff>318974</xdr:colOff>
      <xdr:row>46</xdr:row>
      <xdr:rowOff>79744</xdr:rowOff>
    </xdr:to>
    <xdr:sp macro="" textlink="">
      <xdr:nvSpPr>
        <xdr:cNvPr id="13" name="Rectangle: Rounded Corners 12">
          <a:extLst>
            <a:ext uri="{FF2B5EF4-FFF2-40B4-BE49-F238E27FC236}">
              <a16:creationId xmlns:a16="http://schemas.microsoft.com/office/drawing/2014/main" id="{013092A2-9651-4AB6-80C0-6150EDBAB089}"/>
            </a:ext>
          </a:extLst>
        </xdr:cNvPr>
        <xdr:cNvSpPr/>
      </xdr:nvSpPr>
      <xdr:spPr>
        <a:xfrm>
          <a:off x="265812" y="6088910"/>
          <a:ext cx="5555511" cy="2550043"/>
        </a:xfrm>
        <a:prstGeom prst="roundRect">
          <a:avLst/>
        </a:prstGeom>
        <a:solidFill>
          <a:schemeClr val="tx1"/>
        </a:solidFill>
        <a:ln w="38100">
          <a:solidFill>
            <a:sysClr val="windowText" lastClr="000000"/>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9</xdr:col>
      <xdr:colOff>575930</xdr:colOff>
      <xdr:row>33</xdr:row>
      <xdr:rowOff>44304</xdr:rowOff>
    </xdr:from>
    <xdr:to>
      <xdr:col>19</xdr:col>
      <xdr:colOff>212652</xdr:colOff>
      <xdr:row>46</xdr:row>
      <xdr:rowOff>141769</xdr:rowOff>
    </xdr:to>
    <xdr:sp macro="" textlink="">
      <xdr:nvSpPr>
        <xdr:cNvPr id="14" name="Rectangle: Rounded Corners 13">
          <a:extLst>
            <a:ext uri="{FF2B5EF4-FFF2-40B4-BE49-F238E27FC236}">
              <a16:creationId xmlns:a16="http://schemas.microsoft.com/office/drawing/2014/main" id="{FE4D89BA-4270-4046-B28A-8D48D319AC5F}"/>
            </a:ext>
          </a:extLst>
        </xdr:cNvPr>
        <xdr:cNvSpPr/>
      </xdr:nvSpPr>
      <xdr:spPr>
        <a:xfrm>
          <a:off x="6078279" y="6184606"/>
          <a:ext cx="5750443" cy="2516372"/>
        </a:xfrm>
        <a:prstGeom prst="roundRect">
          <a:avLst/>
        </a:prstGeom>
        <a:solidFill>
          <a:schemeClr val="tx1"/>
        </a:solidFill>
        <a:ln w="38100">
          <a:solidFill>
            <a:schemeClr val="tx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1</xdr:colOff>
      <xdr:row>6</xdr:row>
      <xdr:rowOff>52620</xdr:rowOff>
    </xdr:from>
    <xdr:to>
      <xdr:col>4</xdr:col>
      <xdr:colOff>145916</xdr:colOff>
      <xdr:row>14</xdr:row>
      <xdr:rowOff>113489</xdr:rowOff>
    </xdr:to>
    <xdr:sp macro="" textlink="">
      <xdr:nvSpPr>
        <xdr:cNvPr id="15" name="Rectangle: Rounded Corners 14">
          <a:extLst>
            <a:ext uri="{FF2B5EF4-FFF2-40B4-BE49-F238E27FC236}">
              <a16:creationId xmlns:a16="http://schemas.microsoft.com/office/drawing/2014/main" id="{226A14FC-EAC8-CF53-AF75-16BD0D386112}"/>
            </a:ext>
          </a:extLst>
        </xdr:cNvPr>
        <xdr:cNvSpPr/>
      </xdr:nvSpPr>
      <xdr:spPr>
        <a:xfrm>
          <a:off x="1" y="1154307"/>
          <a:ext cx="2569626" cy="1529784"/>
        </a:xfrm>
        <a:prstGeom prst="roundRect">
          <a:avLst/>
        </a:prstGeom>
        <a:solidFill>
          <a:schemeClr val="accent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IN" sz="2000" b="1">
              <a:solidFill>
                <a:schemeClr val="bg1"/>
              </a:solidFill>
            </a:rPr>
            <a:t>Total Conflicts</a:t>
          </a:r>
        </a:p>
      </xdr:txBody>
    </xdr:sp>
    <xdr:clientData/>
  </xdr:twoCellAnchor>
  <xdr:twoCellAnchor>
    <xdr:from>
      <xdr:col>24</xdr:col>
      <xdr:colOff>284602</xdr:colOff>
      <xdr:row>6</xdr:row>
      <xdr:rowOff>141810</xdr:rowOff>
    </xdr:from>
    <xdr:to>
      <xdr:col>29</xdr:col>
      <xdr:colOff>338906</xdr:colOff>
      <xdr:row>14</xdr:row>
      <xdr:rowOff>88900</xdr:rowOff>
    </xdr:to>
    <xdr:sp macro="" textlink="">
      <xdr:nvSpPr>
        <xdr:cNvPr id="16" name="Rectangle: Rounded Corners 15">
          <a:extLst>
            <a:ext uri="{FF2B5EF4-FFF2-40B4-BE49-F238E27FC236}">
              <a16:creationId xmlns:a16="http://schemas.microsoft.com/office/drawing/2014/main" id="{AA1A1907-81AC-4442-99BA-DBE80BA7CC7A}"/>
            </a:ext>
          </a:extLst>
        </xdr:cNvPr>
        <xdr:cNvSpPr/>
      </xdr:nvSpPr>
      <xdr:spPr>
        <a:xfrm>
          <a:off x="14915002" y="1208610"/>
          <a:ext cx="3102304" cy="1369490"/>
        </a:xfrm>
        <a:prstGeom prst="roundRect">
          <a:avLst/>
        </a:prstGeom>
        <a:solidFill>
          <a:schemeClr val="accent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IN" sz="2000" b="1">
              <a:solidFill>
                <a:schemeClr val="bg1"/>
              </a:solidFill>
            </a:rPr>
            <a:t>Average Reliability Score</a:t>
          </a:r>
        </a:p>
        <a:p>
          <a:pPr algn="l"/>
          <a:endParaRPr lang="en-IN" sz="1100"/>
        </a:p>
      </xdr:txBody>
    </xdr:sp>
    <xdr:clientData/>
  </xdr:twoCellAnchor>
  <xdr:twoCellAnchor>
    <xdr:from>
      <xdr:col>19</xdr:col>
      <xdr:colOff>303745</xdr:colOff>
      <xdr:row>6</xdr:row>
      <xdr:rowOff>129117</xdr:rowOff>
    </xdr:from>
    <xdr:to>
      <xdr:col>24</xdr:col>
      <xdr:colOff>174044</xdr:colOff>
      <xdr:row>14</xdr:row>
      <xdr:rowOff>64266</xdr:rowOff>
    </xdr:to>
    <xdr:sp macro="" textlink="">
      <xdr:nvSpPr>
        <xdr:cNvPr id="17" name="Rectangle: Rounded Corners 16">
          <a:extLst>
            <a:ext uri="{FF2B5EF4-FFF2-40B4-BE49-F238E27FC236}">
              <a16:creationId xmlns:a16="http://schemas.microsoft.com/office/drawing/2014/main" id="{383FEF15-43EE-4687-A4A3-FD594FF42575}"/>
            </a:ext>
          </a:extLst>
        </xdr:cNvPr>
        <xdr:cNvSpPr/>
      </xdr:nvSpPr>
      <xdr:spPr>
        <a:xfrm>
          <a:off x="11816372" y="1230804"/>
          <a:ext cx="2899937" cy="1404064"/>
        </a:xfrm>
        <a:prstGeom prst="roundRect">
          <a:avLst/>
        </a:prstGeom>
        <a:solidFill>
          <a:schemeClr val="accent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IN" sz="2000" b="1">
              <a:solidFill>
                <a:schemeClr val="bg1"/>
              </a:solidFill>
            </a:rPr>
            <a:t>Total Refugees Abroad</a:t>
          </a:r>
        </a:p>
      </xdr:txBody>
    </xdr:sp>
    <xdr:clientData/>
  </xdr:twoCellAnchor>
  <xdr:twoCellAnchor>
    <xdr:from>
      <xdr:col>4</xdr:col>
      <xdr:colOff>259405</xdr:colOff>
      <xdr:row>6</xdr:row>
      <xdr:rowOff>104167</xdr:rowOff>
    </xdr:from>
    <xdr:to>
      <xdr:col>9</xdr:col>
      <xdr:colOff>27543</xdr:colOff>
      <xdr:row>14</xdr:row>
      <xdr:rowOff>100989</xdr:rowOff>
    </xdr:to>
    <xdr:sp macro="" textlink="">
      <xdr:nvSpPr>
        <xdr:cNvPr id="18" name="Rectangle: Rounded Corners 17">
          <a:extLst>
            <a:ext uri="{FF2B5EF4-FFF2-40B4-BE49-F238E27FC236}">
              <a16:creationId xmlns:a16="http://schemas.microsoft.com/office/drawing/2014/main" id="{F5F92B10-C586-4717-93FA-F5913ED95C8E}"/>
            </a:ext>
          </a:extLst>
        </xdr:cNvPr>
        <xdr:cNvSpPr/>
      </xdr:nvSpPr>
      <xdr:spPr>
        <a:xfrm>
          <a:off x="2683116" y="1205854"/>
          <a:ext cx="2797776" cy="1465737"/>
        </a:xfrm>
        <a:prstGeom prst="roundRect">
          <a:avLst/>
        </a:prstGeom>
        <a:solidFill>
          <a:schemeClr val="accent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2000" b="1">
              <a:solidFill>
                <a:schemeClr val="bg1"/>
              </a:solidFill>
            </a:rPr>
            <a:t>Total Estimated Deaths</a:t>
          </a:r>
        </a:p>
      </xdr:txBody>
    </xdr:sp>
    <xdr:clientData/>
  </xdr:twoCellAnchor>
  <xdr:twoCellAnchor>
    <xdr:from>
      <xdr:col>14</xdr:col>
      <xdr:colOff>339688</xdr:colOff>
      <xdr:row>6</xdr:row>
      <xdr:rowOff>105870</xdr:rowOff>
    </xdr:from>
    <xdr:to>
      <xdr:col>19</xdr:col>
      <xdr:colOff>201587</xdr:colOff>
      <xdr:row>14</xdr:row>
      <xdr:rowOff>138297</xdr:rowOff>
    </xdr:to>
    <xdr:sp macro="" textlink="">
      <xdr:nvSpPr>
        <xdr:cNvPr id="19" name="Rectangle: Rounded Corners 18">
          <a:extLst>
            <a:ext uri="{FF2B5EF4-FFF2-40B4-BE49-F238E27FC236}">
              <a16:creationId xmlns:a16="http://schemas.microsoft.com/office/drawing/2014/main" id="{18C7A061-F31B-495E-B1F5-FFB7767C29A0}"/>
            </a:ext>
          </a:extLst>
        </xdr:cNvPr>
        <xdr:cNvSpPr/>
      </xdr:nvSpPr>
      <xdr:spPr>
        <a:xfrm>
          <a:off x="8822676" y="1207557"/>
          <a:ext cx="2891538" cy="1501342"/>
        </a:xfrm>
        <a:prstGeom prst="roundRect">
          <a:avLst/>
        </a:prstGeom>
        <a:solidFill>
          <a:schemeClr val="accent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2000" b="1">
              <a:solidFill>
                <a:schemeClr val="bg1"/>
              </a:solidFill>
            </a:rPr>
            <a:t>Total Displaced Persons</a:t>
          </a:r>
        </a:p>
      </xdr:txBody>
    </xdr:sp>
    <xdr:clientData/>
  </xdr:twoCellAnchor>
  <xdr:twoCellAnchor>
    <xdr:from>
      <xdr:col>9</xdr:col>
      <xdr:colOff>119350</xdr:colOff>
      <xdr:row>6</xdr:row>
      <xdr:rowOff>97024</xdr:rowOff>
    </xdr:from>
    <xdr:to>
      <xdr:col>14</xdr:col>
      <xdr:colOff>255109</xdr:colOff>
      <xdr:row>14</xdr:row>
      <xdr:rowOff>101574</xdr:rowOff>
    </xdr:to>
    <xdr:sp macro="" textlink="">
      <xdr:nvSpPr>
        <xdr:cNvPr id="20" name="Rectangle: Rounded Corners 19">
          <a:extLst>
            <a:ext uri="{FF2B5EF4-FFF2-40B4-BE49-F238E27FC236}">
              <a16:creationId xmlns:a16="http://schemas.microsoft.com/office/drawing/2014/main" id="{C35001BC-0EE6-4783-A19A-8B3E95E9CF84}"/>
            </a:ext>
          </a:extLst>
        </xdr:cNvPr>
        <xdr:cNvSpPr/>
      </xdr:nvSpPr>
      <xdr:spPr>
        <a:xfrm>
          <a:off x="5572699" y="1198711"/>
          <a:ext cx="3165398" cy="1473465"/>
        </a:xfrm>
        <a:prstGeom prst="roundRect">
          <a:avLst/>
        </a:prstGeom>
        <a:solidFill>
          <a:schemeClr val="accent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2000" b="1">
              <a:solidFill>
                <a:schemeClr val="bg1"/>
              </a:solidFill>
            </a:rPr>
            <a:t>Total Affected Populations</a:t>
          </a:r>
        </a:p>
      </xdr:txBody>
    </xdr:sp>
    <xdr:clientData/>
  </xdr:twoCellAnchor>
  <xdr:twoCellAnchor>
    <xdr:from>
      <xdr:col>0</xdr:col>
      <xdr:colOff>443023</xdr:colOff>
      <xdr:row>17</xdr:row>
      <xdr:rowOff>106325</xdr:rowOff>
    </xdr:from>
    <xdr:to>
      <xdr:col>9</xdr:col>
      <xdr:colOff>150628</xdr:colOff>
      <xdr:row>30</xdr:row>
      <xdr:rowOff>177208</xdr:rowOff>
    </xdr:to>
    <xdr:graphicFrame macro="">
      <xdr:nvGraphicFramePr>
        <xdr:cNvPr id="21" name="Chart 20">
          <a:extLst>
            <a:ext uri="{FF2B5EF4-FFF2-40B4-BE49-F238E27FC236}">
              <a16:creationId xmlns:a16="http://schemas.microsoft.com/office/drawing/2014/main" id="{23580CFB-C6A1-4BCD-A66E-820403C9E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203790</xdr:colOff>
      <xdr:row>17</xdr:row>
      <xdr:rowOff>70883</xdr:rowOff>
    </xdr:from>
    <xdr:to>
      <xdr:col>19</xdr:col>
      <xdr:colOff>35441</xdr:colOff>
      <xdr:row>30</xdr:row>
      <xdr:rowOff>186069</xdr:rowOff>
    </xdr:to>
    <xdr:graphicFrame macro="">
      <xdr:nvGraphicFramePr>
        <xdr:cNvPr id="23" name="Chart 22">
          <a:extLst>
            <a:ext uri="{FF2B5EF4-FFF2-40B4-BE49-F238E27FC236}">
              <a16:creationId xmlns:a16="http://schemas.microsoft.com/office/drawing/2014/main" id="{1EC7CD5C-B34A-468E-8CB0-507A4B5F5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425300</xdr:colOff>
      <xdr:row>33</xdr:row>
      <xdr:rowOff>97464</xdr:rowOff>
    </xdr:from>
    <xdr:to>
      <xdr:col>9</xdr:col>
      <xdr:colOff>115186</xdr:colOff>
      <xdr:row>45</xdr:row>
      <xdr:rowOff>88603</xdr:rowOff>
    </xdr:to>
    <xdr:graphicFrame macro="">
      <xdr:nvGraphicFramePr>
        <xdr:cNvPr id="24" name="Chart 23">
          <a:extLst>
            <a:ext uri="{FF2B5EF4-FFF2-40B4-BE49-F238E27FC236}">
              <a16:creationId xmlns:a16="http://schemas.microsoft.com/office/drawing/2014/main" id="{808F7E58-C8F0-414F-9C47-3BB2138C8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124047</xdr:colOff>
      <xdr:row>34</xdr:row>
      <xdr:rowOff>8860</xdr:rowOff>
    </xdr:from>
    <xdr:to>
      <xdr:col>19</xdr:col>
      <xdr:colOff>8862</xdr:colOff>
      <xdr:row>45</xdr:row>
      <xdr:rowOff>173937</xdr:rowOff>
    </xdr:to>
    <xdr:graphicFrame macro="">
      <xdr:nvGraphicFramePr>
        <xdr:cNvPr id="25" name="Chart 24">
          <a:extLst>
            <a:ext uri="{FF2B5EF4-FFF2-40B4-BE49-F238E27FC236}">
              <a16:creationId xmlns:a16="http://schemas.microsoft.com/office/drawing/2014/main" id="{0E447C3E-9FFC-4F7F-8692-485663553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187156</xdr:colOff>
      <xdr:row>47</xdr:row>
      <xdr:rowOff>106948</xdr:rowOff>
    </xdr:from>
    <xdr:to>
      <xdr:col>19</xdr:col>
      <xdr:colOff>187157</xdr:colOff>
      <xdr:row>66</xdr:row>
      <xdr:rowOff>53474</xdr:rowOff>
    </xdr:to>
    <xdr:sp macro="" textlink="">
      <xdr:nvSpPr>
        <xdr:cNvPr id="26" name="Rectangle: Rounded Corners 25">
          <a:extLst>
            <a:ext uri="{FF2B5EF4-FFF2-40B4-BE49-F238E27FC236}">
              <a16:creationId xmlns:a16="http://schemas.microsoft.com/office/drawing/2014/main" id="{BCCA4E0C-BDF1-46AF-B671-7D4A4BA8A904}"/>
            </a:ext>
          </a:extLst>
        </xdr:cNvPr>
        <xdr:cNvSpPr/>
      </xdr:nvSpPr>
      <xdr:spPr>
        <a:xfrm>
          <a:off x="187156" y="8903369"/>
          <a:ext cx="11684001" cy="3502526"/>
        </a:xfrm>
        <a:prstGeom prst="roundRect">
          <a:avLst/>
        </a:prstGeom>
        <a:solidFill>
          <a:schemeClr val="tx1"/>
        </a:solidFill>
        <a:ln w="38100">
          <a:solidFill>
            <a:schemeClr val="tx1"/>
          </a:solidFill>
        </a:ln>
      </xdr:spPr>
      <xdr:style>
        <a:lnRef idx="2">
          <a:schemeClr val="accent5"/>
        </a:lnRef>
        <a:fillRef idx="1">
          <a:schemeClr val="lt1"/>
        </a:fillRef>
        <a:effectRef idx="0">
          <a:schemeClr val="accent5"/>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0</xdr:col>
      <xdr:colOff>441156</xdr:colOff>
      <xdr:row>48</xdr:row>
      <xdr:rowOff>66843</xdr:rowOff>
    </xdr:from>
    <xdr:to>
      <xdr:col>18</xdr:col>
      <xdr:colOff>521368</xdr:colOff>
      <xdr:row>65</xdr:row>
      <xdr:rowOff>26737</xdr:rowOff>
    </xdr:to>
    <xdr:graphicFrame macro="">
      <xdr:nvGraphicFramePr>
        <xdr:cNvPr id="27" name="Chart 26">
          <a:extLst>
            <a:ext uri="{FF2B5EF4-FFF2-40B4-BE49-F238E27FC236}">
              <a16:creationId xmlns:a16="http://schemas.microsoft.com/office/drawing/2014/main" id="{28AE89F6-A21F-4A8D-A813-8200EA34F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198429</xdr:colOff>
      <xdr:row>31</xdr:row>
      <xdr:rowOff>149645</xdr:rowOff>
    </xdr:from>
    <xdr:to>
      <xdr:col>29</xdr:col>
      <xdr:colOff>311919</xdr:colOff>
      <xdr:row>70</xdr:row>
      <xdr:rowOff>156482</xdr:rowOff>
    </xdr:to>
    <mc:AlternateContent xmlns:mc="http://schemas.openxmlformats.org/markup-compatibility/2006" xmlns:a14="http://schemas.microsoft.com/office/drawing/2010/main">
      <mc:Choice Requires="a14">
        <xdr:graphicFrame macro="">
          <xdr:nvGraphicFramePr>
            <xdr:cNvPr id="28" name="conflict_name">
              <a:extLst>
                <a:ext uri="{FF2B5EF4-FFF2-40B4-BE49-F238E27FC236}">
                  <a16:creationId xmlns:a16="http://schemas.microsoft.com/office/drawing/2014/main" id="{0575023B-E2DB-3FC0-445F-913BB92EF60B}"/>
                </a:ext>
              </a:extLst>
            </xdr:cNvPr>
            <xdr:cNvGraphicFramePr/>
          </xdr:nvGraphicFramePr>
          <xdr:xfrm>
            <a:off x="0" y="0"/>
            <a:ext cx="0" cy="0"/>
          </xdr:xfrm>
          <a:graphic>
            <a:graphicData uri="http://schemas.microsoft.com/office/drawing/2010/slicer">
              <sle:slicer xmlns:sle="http://schemas.microsoft.com/office/drawing/2010/slicer" name="conflict_name"/>
            </a:graphicData>
          </a:graphic>
        </xdr:graphicFrame>
      </mc:Choice>
      <mc:Fallback xmlns="">
        <xdr:sp macro="" textlink="">
          <xdr:nvSpPr>
            <xdr:cNvPr id="0" name=""/>
            <xdr:cNvSpPr>
              <a:spLocks noTextEdit="1"/>
            </xdr:cNvSpPr>
          </xdr:nvSpPr>
          <xdr:spPr>
            <a:xfrm>
              <a:off x="12390429" y="5661445"/>
              <a:ext cx="5599890" cy="6941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316676</xdr:colOff>
      <xdr:row>9</xdr:row>
      <xdr:rowOff>172407</xdr:rowOff>
    </xdr:from>
    <xdr:to>
      <xdr:col>3</xdr:col>
      <xdr:colOff>376051</xdr:colOff>
      <xdr:row>12</xdr:row>
      <xdr:rowOff>79170</xdr:rowOff>
    </xdr:to>
    <xdr:sp macro="" textlink="Pivot_Table!P3">
      <xdr:nvSpPr>
        <xdr:cNvPr id="8" name="TextBox 7">
          <a:extLst>
            <a:ext uri="{FF2B5EF4-FFF2-40B4-BE49-F238E27FC236}">
              <a16:creationId xmlns:a16="http://schemas.microsoft.com/office/drawing/2014/main" id="{D883511E-94BB-F8FD-9ECE-AF993E3D1496}"/>
            </a:ext>
          </a:extLst>
        </xdr:cNvPr>
        <xdr:cNvSpPr txBox="1"/>
      </xdr:nvSpPr>
      <xdr:spPr>
        <a:xfrm>
          <a:off x="930234" y="1775576"/>
          <a:ext cx="1286492" cy="44115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E7DC2F-252E-455F-992E-F6B7F9FF13E1}" type="TxLink">
            <a:rPr lang="en-US" sz="2800" b="1" i="0" u="none" strike="noStrike">
              <a:solidFill>
                <a:schemeClr val="bg1"/>
              </a:solidFill>
              <a:latin typeface="Calibri"/>
              <a:ea typeface="Calibri"/>
              <a:cs typeface="Calibri"/>
            </a:rPr>
            <a:pPr/>
            <a:t>27</a:t>
          </a:fld>
          <a:endParaRPr lang="en-IN" sz="2800" b="1">
            <a:solidFill>
              <a:schemeClr val="bg1"/>
            </a:solidFill>
          </a:endParaRPr>
        </a:p>
      </xdr:txBody>
    </xdr:sp>
    <xdr:clientData/>
  </xdr:twoCellAnchor>
  <xdr:twoCellAnchor>
    <xdr:from>
      <xdr:col>5</xdr:col>
      <xdr:colOff>247402</xdr:colOff>
      <xdr:row>9</xdr:row>
      <xdr:rowOff>158337</xdr:rowOff>
    </xdr:from>
    <xdr:to>
      <xdr:col>8</xdr:col>
      <xdr:colOff>395843</xdr:colOff>
      <xdr:row>12</xdr:row>
      <xdr:rowOff>138546</xdr:rowOff>
    </xdr:to>
    <xdr:sp macro="" textlink="Pivot_Table!R3">
      <xdr:nvSpPr>
        <xdr:cNvPr id="9" name="TextBox 8">
          <a:extLst>
            <a:ext uri="{FF2B5EF4-FFF2-40B4-BE49-F238E27FC236}">
              <a16:creationId xmlns:a16="http://schemas.microsoft.com/office/drawing/2014/main" id="{C26206C9-6E19-A254-E1B8-5727B2182A24}"/>
            </a:ext>
          </a:extLst>
        </xdr:cNvPr>
        <xdr:cNvSpPr txBox="1"/>
      </xdr:nvSpPr>
      <xdr:spPr>
        <a:xfrm>
          <a:off x="3315194" y="1761506"/>
          <a:ext cx="1989117" cy="51459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05E98BD-DD5D-4117-B4B5-8A7824D49F7E}" type="TxLink">
            <a:rPr lang="en-US" sz="2800" b="1" i="0" u="none" strike="noStrike">
              <a:solidFill>
                <a:schemeClr val="bg1"/>
              </a:solidFill>
              <a:latin typeface="Calibri"/>
              <a:ea typeface="Calibri"/>
              <a:cs typeface="Calibri"/>
            </a:rPr>
            <a:pPr/>
            <a:t>2036493</a:t>
          </a:fld>
          <a:endParaRPr lang="en-IN" sz="2800" b="1">
            <a:solidFill>
              <a:schemeClr val="bg1"/>
            </a:solidFill>
          </a:endParaRPr>
        </a:p>
      </xdr:txBody>
    </xdr:sp>
    <xdr:clientData/>
  </xdr:twoCellAnchor>
  <xdr:twoCellAnchor>
    <xdr:from>
      <xdr:col>10</xdr:col>
      <xdr:colOff>197922</xdr:colOff>
      <xdr:row>10</xdr:row>
      <xdr:rowOff>9896</xdr:rowOff>
    </xdr:from>
    <xdr:to>
      <xdr:col>13</xdr:col>
      <xdr:colOff>296883</xdr:colOff>
      <xdr:row>12</xdr:row>
      <xdr:rowOff>138546</xdr:rowOff>
    </xdr:to>
    <xdr:sp macro="" textlink="Pivot_Table!T3">
      <xdr:nvSpPr>
        <xdr:cNvPr id="10" name="TextBox 9">
          <a:extLst>
            <a:ext uri="{FF2B5EF4-FFF2-40B4-BE49-F238E27FC236}">
              <a16:creationId xmlns:a16="http://schemas.microsoft.com/office/drawing/2014/main" id="{CD91DEFA-3E3D-1455-78FD-1FDF06AADAE8}"/>
            </a:ext>
          </a:extLst>
        </xdr:cNvPr>
        <xdr:cNvSpPr txBox="1"/>
      </xdr:nvSpPr>
      <xdr:spPr>
        <a:xfrm>
          <a:off x="6333506" y="1791195"/>
          <a:ext cx="1939637" cy="48490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2E965E-2E06-4148-9FB4-94B13DB6C262}" type="TxLink">
            <a:rPr lang="en-US" sz="2800" b="1" i="0" u="none" strike="noStrike">
              <a:solidFill>
                <a:schemeClr val="bg1"/>
              </a:solidFill>
              <a:latin typeface="Calibri"/>
              <a:ea typeface="Calibri"/>
              <a:cs typeface="Calibri"/>
            </a:rPr>
            <a:pPr/>
            <a:t>144400000</a:t>
          </a:fld>
          <a:endParaRPr lang="en-IN" sz="2800" b="1">
            <a:solidFill>
              <a:schemeClr val="bg1"/>
            </a:solidFill>
          </a:endParaRPr>
        </a:p>
      </xdr:txBody>
    </xdr:sp>
    <xdr:clientData/>
  </xdr:twoCellAnchor>
  <xdr:oneCellAnchor>
    <xdr:from>
      <xdr:col>15</xdr:col>
      <xdr:colOff>352963</xdr:colOff>
      <xdr:row>10</xdr:row>
      <xdr:rowOff>0</xdr:rowOff>
    </xdr:from>
    <xdr:ext cx="1715323" cy="530658"/>
    <xdr:sp macro="" textlink="Pivot_Table!P9">
      <xdr:nvSpPr>
        <xdr:cNvPr id="22" name="TextBox 21">
          <a:extLst>
            <a:ext uri="{FF2B5EF4-FFF2-40B4-BE49-F238E27FC236}">
              <a16:creationId xmlns:a16="http://schemas.microsoft.com/office/drawing/2014/main" id="{4D3A1C5E-9579-AD66-431C-E3F96ECBC462}"/>
            </a:ext>
          </a:extLst>
        </xdr:cNvPr>
        <xdr:cNvSpPr txBox="1"/>
      </xdr:nvSpPr>
      <xdr:spPr>
        <a:xfrm flipH="1">
          <a:off x="9556340" y="1781299"/>
          <a:ext cx="171532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F4BE7A9-ACB0-4AB4-A4B4-00600BE6D7F0}" type="TxLink">
            <a:rPr lang="en-US" sz="2800" b="1" i="0" u="none" strike="noStrike">
              <a:solidFill>
                <a:schemeClr val="bg1"/>
              </a:solidFill>
              <a:latin typeface="Calibri"/>
              <a:ea typeface="Calibri"/>
              <a:cs typeface="Calibri"/>
            </a:rPr>
            <a:pPr/>
            <a:t>51630000</a:t>
          </a:fld>
          <a:endParaRPr lang="en-IN" sz="2800" b="1">
            <a:solidFill>
              <a:schemeClr val="bg1"/>
            </a:solidFill>
          </a:endParaRPr>
        </a:p>
      </xdr:txBody>
    </xdr:sp>
    <xdr:clientData/>
  </xdr:oneCellAnchor>
  <xdr:twoCellAnchor>
    <xdr:from>
      <xdr:col>20</xdr:col>
      <xdr:colOff>277091</xdr:colOff>
      <xdr:row>10</xdr:row>
      <xdr:rowOff>39584</xdr:rowOff>
    </xdr:from>
    <xdr:to>
      <xdr:col>23</xdr:col>
      <xdr:colOff>514598</xdr:colOff>
      <xdr:row>12</xdr:row>
      <xdr:rowOff>69273</xdr:rowOff>
    </xdr:to>
    <xdr:sp macro="" textlink="Pivot_Table!R9">
      <xdr:nvSpPr>
        <xdr:cNvPr id="29" name="TextBox 28">
          <a:extLst>
            <a:ext uri="{FF2B5EF4-FFF2-40B4-BE49-F238E27FC236}">
              <a16:creationId xmlns:a16="http://schemas.microsoft.com/office/drawing/2014/main" id="{DCDA5C78-C1DD-708C-835E-6476D52154C8}"/>
            </a:ext>
          </a:extLst>
        </xdr:cNvPr>
        <xdr:cNvSpPr txBox="1"/>
      </xdr:nvSpPr>
      <xdr:spPr>
        <a:xfrm>
          <a:off x="12548260" y="1820883"/>
          <a:ext cx="2078182" cy="38594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ADD63B-AE10-47B3-9C63-079B0DD6D51F}" type="TxLink">
            <a:rPr lang="en-US" sz="2800" b="1" i="0" u="none" strike="noStrike">
              <a:solidFill>
                <a:schemeClr val="bg1"/>
              </a:solidFill>
              <a:latin typeface="Calibri"/>
              <a:ea typeface="Calibri"/>
              <a:cs typeface="Calibri"/>
            </a:rPr>
            <a:pPr/>
            <a:t>20850000</a:t>
          </a:fld>
          <a:endParaRPr lang="en-IN" sz="2800" b="1">
            <a:solidFill>
              <a:schemeClr val="bg1"/>
            </a:solidFill>
          </a:endParaRPr>
        </a:p>
      </xdr:txBody>
    </xdr:sp>
    <xdr:clientData/>
  </xdr:twoCellAnchor>
  <xdr:twoCellAnchor>
    <xdr:from>
      <xdr:col>26</xdr:col>
      <xdr:colOff>168234</xdr:colOff>
      <xdr:row>10</xdr:row>
      <xdr:rowOff>9896</xdr:rowOff>
    </xdr:from>
    <xdr:to>
      <xdr:col>28</xdr:col>
      <xdr:colOff>158339</xdr:colOff>
      <xdr:row>12</xdr:row>
      <xdr:rowOff>89065</xdr:rowOff>
    </xdr:to>
    <xdr:sp macro="" textlink="Pivot_Table!T9">
      <xdr:nvSpPr>
        <xdr:cNvPr id="30" name="TextBox 29">
          <a:extLst>
            <a:ext uri="{FF2B5EF4-FFF2-40B4-BE49-F238E27FC236}">
              <a16:creationId xmlns:a16="http://schemas.microsoft.com/office/drawing/2014/main" id="{5B5693F2-9CC4-CCF9-BF3C-4EA9360BB46D}"/>
            </a:ext>
          </a:extLst>
        </xdr:cNvPr>
        <xdr:cNvSpPr txBox="1"/>
      </xdr:nvSpPr>
      <xdr:spPr>
        <a:xfrm>
          <a:off x="16120753" y="1791195"/>
          <a:ext cx="1217222" cy="43542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0ACCD1-E90D-456A-953C-C7AE2C6CC0D7}" type="TxLink">
            <a:rPr lang="en-US" sz="2800" b="1" i="0" u="none" strike="noStrike">
              <a:solidFill>
                <a:schemeClr val="bg1"/>
              </a:solidFill>
              <a:latin typeface="Calibri"/>
              <a:ea typeface="Calibri"/>
              <a:cs typeface="Calibri"/>
            </a:rPr>
            <a:pPr/>
            <a:t>6.93</a:t>
          </a:fld>
          <a:endParaRPr lang="en-IN" sz="2800" b="1">
            <a:solidFill>
              <a:schemeClr val="bg1"/>
            </a:solidFill>
          </a:endParaRPr>
        </a:p>
      </xdr:txBody>
    </xdr:sp>
    <xdr:clientData/>
  </xdr:twoCellAnchor>
  <xdr:twoCellAnchor>
    <xdr:from>
      <xdr:col>1</xdr:col>
      <xdr:colOff>257298</xdr:colOff>
      <xdr:row>68</xdr:row>
      <xdr:rowOff>38101</xdr:rowOff>
    </xdr:from>
    <xdr:to>
      <xdr:col>14</xdr:col>
      <xdr:colOff>12699</xdr:colOff>
      <xdr:row>73</xdr:row>
      <xdr:rowOff>59377</xdr:rowOff>
    </xdr:to>
    <xdr:sp macro="" textlink="">
      <xdr:nvSpPr>
        <xdr:cNvPr id="2" name="TextBox 1">
          <a:extLst>
            <a:ext uri="{FF2B5EF4-FFF2-40B4-BE49-F238E27FC236}">
              <a16:creationId xmlns:a16="http://schemas.microsoft.com/office/drawing/2014/main" id="{8354984C-B3DF-D083-4B6D-817642548210}"/>
            </a:ext>
          </a:extLst>
        </xdr:cNvPr>
        <xdr:cNvSpPr txBox="1"/>
      </xdr:nvSpPr>
      <xdr:spPr>
        <a:xfrm>
          <a:off x="866898" y="12128501"/>
          <a:ext cx="7680201" cy="910276"/>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Created by</a:t>
          </a:r>
          <a:r>
            <a:rPr lang="en-IN" sz="1400" baseline="0">
              <a:solidFill>
                <a:schemeClr val="bg1"/>
              </a:solidFill>
            </a:rPr>
            <a:t> : Sapna Patel</a:t>
          </a:r>
        </a:p>
        <a:p>
          <a:r>
            <a:rPr lang="en-IN" sz="1400">
              <a:solidFill>
                <a:schemeClr val="bg1"/>
              </a:solidFill>
            </a:rPr>
            <a:t>Tooles used</a:t>
          </a:r>
          <a:r>
            <a:rPr lang="en-IN" sz="1400" baseline="0">
              <a:solidFill>
                <a:schemeClr val="bg1"/>
              </a:solidFill>
            </a:rPr>
            <a:t> : Microsoft Excel</a:t>
          </a:r>
          <a:r>
            <a:rPr lang="en-IN" sz="1200" baseline="0">
              <a:solidFill>
                <a:schemeClr val="bg1"/>
              </a:solidFill>
            </a:rPr>
            <a:t> (</a:t>
          </a:r>
          <a:r>
            <a:rPr lang="en-IN" sz="1400">
              <a:solidFill>
                <a:schemeClr val="bg1"/>
              </a:solidFill>
            </a:rPr>
            <a:t>Pivot Tables, Pivot Charts, Slicers, KPI Cards, Data Cleaning)</a:t>
          </a:r>
        </a:p>
      </xdr:txBody>
    </xdr:sp>
    <xdr:clientData/>
  </xdr:twoCellAnchor>
  <xdr:twoCellAnchor>
    <xdr:from>
      <xdr:col>21</xdr:col>
      <xdr:colOff>63500</xdr:colOff>
      <xdr:row>17</xdr:row>
      <xdr:rowOff>79168</xdr:rowOff>
    </xdr:from>
    <xdr:to>
      <xdr:col>28</xdr:col>
      <xdr:colOff>431799</xdr:colOff>
      <xdr:row>26</xdr:row>
      <xdr:rowOff>108856</xdr:rowOff>
    </xdr:to>
    <xdr:sp macro="" textlink="">
      <xdr:nvSpPr>
        <xdr:cNvPr id="3" name="TextBox 2">
          <a:extLst>
            <a:ext uri="{FF2B5EF4-FFF2-40B4-BE49-F238E27FC236}">
              <a16:creationId xmlns:a16="http://schemas.microsoft.com/office/drawing/2014/main" id="{00249EAD-E79A-8195-4531-06248F3A319F}"/>
            </a:ext>
          </a:extLst>
        </xdr:cNvPr>
        <xdr:cNvSpPr txBox="1"/>
      </xdr:nvSpPr>
      <xdr:spPr>
        <a:xfrm>
          <a:off x="12865100" y="3101768"/>
          <a:ext cx="4635499" cy="1629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solidFill>
                <a:schemeClr val="accent1">
                  <a:lumMod val="75000"/>
                </a:schemeClr>
              </a:solidFill>
            </a:rPr>
            <a:t>                                  </a:t>
          </a:r>
          <a:r>
            <a:rPr lang="en-IN" sz="2000" b="1">
              <a:solidFill>
                <a:schemeClr val="accent1">
                  <a:lumMod val="75000"/>
                </a:schemeClr>
              </a:solidFill>
            </a:rPr>
            <a:t>Dashboard Instructions</a:t>
          </a:r>
          <a:endParaRPr lang="en-IN" sz="2000">
            <a:solidFill>
              <a:schemeClr val="accent1">
                <a:lumMod val="75000"/>
              </a:schemeClr>
            </a:solidFill>
          </a:endParaRPr>
        </a:p>
        <a:p>
          <a:r>
            <a:rPr lang="en-IN" sz="1800"/>
            <a:t>• Use the </a:t>
          </a:r>
          <a:r>
            <a:rPr lang="en-IN" sz="1800" b="1"/>
            <a:t>Conflict Name</a:t>
          </a:r>
          <a:r>
            <a:rPr lang="en-IN" sz="1800"/>
            <a:t> slicer to view detailed analysis for a specific conflict.</a:t>
          </a:r>
          <a:br>
            <a:rPr lang="en-IN" sz="1800"/>
          </a:br>
          <a:r>
            <a:rPr lang="en-IN" sz="1800"/>
            <a:t>• </a:t>
          </a:r>
          <a:r>
            <a:rPr lang="en-IN" sz="1800" b="1"/>
            <a:t>Clear the slicer filter</a:t>
          </a:r>
          <a:r>
            <a:rPr lang="en-IN" sz="1800"/>
            <a:t> to restore the overall dashboard analysis.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PANA" refreshedDate="46210.886257986109" createdVersion="8" refreshedVersion="8" minRefreshableVersion="3" recordCount="27" xr:uid="{7245F52F-5C24-46CA-BE10-AB101E96711D}">
  <cacheSource type="worksheet">
    <worksheetSource name="ConflictData"/>
  </cacheSource>
  <cacheFields count="23">
    <cacheField name="conflict_id" numFmtId="0">
      <sharedItems count="27">
        <s v="C01"/>
        <s v="C02"/>
        <s v="C03"/>
        <s v="C04"/>
        <s v="C05"/>
        <s v="C06"/>
        <s v="C07"/>
        <s v="C08"/>
        <s v="C09"/>
        <s v="C10"/>
        <s v="C11"/>
        <s v="C12"/>
        <s v="C13"/>
        <s v="C14"/>
        <s v="C15"/>
        <s v="C16"/>
        <s v="C17"/>
        <s v="C18"/>
        <s v="C19"/>
        <s v="C20"/>
        <s v="C21"/>
        <s v="C22"/>
        <s v="C23"/>
        <s v="C24"/>
        <s v="C25"/>
        <s v="C26"/>
        <s v="C27"/>
      </sharedItems>
    </cacheField>
    <cacheField name="conflict_name" numFmtId="0">
      <sharedItems count="27">
        <s v="1948 Arab-Israeli War"/>
        <s v="Suez Crisis"/>
        <s v="Six-Day War"/>
        <s v="War of Attrition"/>
        <s v="Black September"/>
        <s v="Yom Kippur War"/>
        <s v="Lebanese Civil War"/>
        <s v="Op. Litani 1978"/>
        <s v="Iran-Iraq War"/>
        <s v="Israeli Invasion Lebanon 1982"/>
        <s v="Gulf War 1991"/>
        <s v="Iraqi No-Fly Zones"/>
        <s v="1st Intifada"/>
        <s v="2nd Intifada"/>
        <s v="Iraq War OIF (total)"/>
        <s v="Iraqi Insurgency AQI"/>
        <s v="2006 Lebanon War"/>
        <s v="Gaza Cast Lead"/>
        <s v="Gaza Pillar of Defense"/>
        <s v="Gaza Protective Edge"/>
        <s v="Syrian Civil War"/>
        <s v="ISIS War OIR"/>
        <s v="Yemen Civil War"/>
        <s v="Gaza War Al-Aqsa Flood"/>
        <s v="Israel-Lebanon War 2024"/>
        <s v="Twelve-Day War 2025"/>
        <s v="Iran War Op. Epic Fury (Mar 2026)"/>
      </sharedItems>
    </cacheField>
    <cacheField name="total_dead_est_low" numFmtId="0">
      <sharedItems containsSemiMixedTypes="0" containsString="0" containsNumber="1" containsInteger="1" minValue="170" maxValue="500000"/>
    </cacheField>
    <cacheField name="total_dead_est_high" numFmtId="0">
      <sharedItems containsSemiMixedTypes="0" containsString="0" containsNumber="1" containsInteger="1" minValue="180" maxValue="1000000"/>
    </cacheField>
    <cacheField name="average_Dead_estimate" numFmtId="0">
      <sharedItems containsSemiMixedTypes="0" containsString="0" containsNumber="1" minValue="175" maxValue="750000"/>
    </cacheField>
    <cacheField name="civilian_killed_est" numFmtId="0">
      <sharedItems containsSemiMixedTypes="0" containsString="0" containsNumber="1" containsInteger="1" minValue="15" maxValue="250000"/>
    </cacheField>
    <cacheField name="civ_men_pct" numFmtId="9">
      <sharedItems containsSemiMixedTypes="0" containsString="0" containsNumber="1" minValue="0.2" maxValue="0.6"/>
    </cacheField>
    <cacheField name="civ_women_pct" numFmtId="9">
      <sharedItems containsSemiMixedTypes="0" containsString="0" containsNumber="1" minValue="0.2" maxValue="0.32"/>
    </cacheField>
    <cacheField name="civ_children_pct" numFmtId="9">
      <sharedItems containsSemiMixedTypes="0" containsString="0" containsNumber="1" minValue="0.2" maxValue="0.5"/>
    </cacheField>
    <cacheField name="civ_men_absolute_est" numFmtId="0">
      <sharedItems containsSemiMixedTypes="0" containsString="0" containsNumber="1" minValue="4.5" maxValue="87500"/>
    </cacheField>
    <cacheField name="civ_women_absolute_est" numFmtId="0">
      <sharedItems containsSemiMixedTypes="0" containsString="0" containsNumber="1" minValue="4.5" maxValue="70000"/>
    </cacheField>
    <cacheField name="civ_children_absolute_est" numFmtId="0">
      <sharedItems containsSemiMixedTypes="0" containsString="0" containsNumber="1" containsInteger="1" minValue="60" maxValue="92000"/>
    </cacheField>
    <cacheField name="wounded_total_est" numFmtId="0">
      <sharedItems containsSemiMixedTypes="0" containsString="0" containsNumber="1" containsInteger="1" minValue="1200" maxValue="1500000"/>
    </cacheField>
    <cacheField name="pows_taken" numFmtId="0">
      <sharedItems containsString="0" containsBlank="1" containsNumber="1" containsInteger="1" minValue="2" maxValue="100000"/>
    </cacheField>
    <cacheField name="missing_persons" numFmtId="0">
      <sharedItems containsString="0" containsBlank="1" containsNumber="1" containsInteger="1" minValue="100" maxValue="200000"/>
    </cacheField>
    <cacheField name="displaced_persons" numFmtId="0">
      <sharedItems containsString="0" containsBlank="1" containsNumber="1" containsInteger="1" minValue="100000" maxValue="13000000"/>
    </cacheField>
    <cacheField name="refugees_abroad" numFmtId="0">
      <sharedItems containsString="0" containsBlank="1" containsNumber="1" containsInteger="1" minValue="50000" maxValue="6600000"/>
    </cacheField>
    <cacheField name="total_affected_pop" numFmtId="0">
      <sharedItems containsSemiMixedTypes="0" containsString="0" containsNumber="1" containsInteger="1" minValue="300000" maxValue="23000000" count="14">
        <n v="4000000"/>
        <n v="500000"/>
        <n v="1000000"/>
        <n v="300000"/>
        <n v="3000000"/>
        <n v="10000000"/>
        <n v="2000000"/>
        <n v="8000000"/>
        <n v="15000000"/>
        <n v="1500000"/>
        <n v="20000000"/>
        <n v="23000000"/>
        <n v="2300000"/>
        <n v="5000000"/>
      </sharedItems>
    </cacheField>
    <cacheField name="famine_disease_deaths_indirect" numFmtId="0">
      <sharedItems containsSemiMixedTypes="0" containsString="0" containsNumber="1" containsInteger="1" minValue="30" maxValue="200000"/>
    </cacheField>
    <cacheField name="journalists_killed" numFmtId="0">
      <sharedItems containsSemiMixedTypes="0" containsString="0" containsNumber="1" containsInteger="1" minValue="0" maxValue="600"/>
    </cacheField>
    <cacheField name="aid_workers_killed" numFmtId="0">
      <sharedItems containsSemiMixedTypes="0" containsString="0" containsNumber="1" containsInteger="1" minValue="0" maxValue="224"/>
    </cacheField>
    <cacheField name="data_source" numFmtId="0">
      <sharedItems count="27">
        <s v="Benny Morris; Israeli MoD; UNRWA"/>
        <s v="SIPRI; Britannica"/>
        <s v="CFR; Wikipedia; IDF"/>
        <s v="IISS"/>
        <s v="Amnesty; PLO sources"/>
        <s v="IDF; Egyptian MoD; Britannica"/>
        <s v="Fisk; ICRC; Lebanese govt"/>
        <s v="UN; ICRC"/>
        <s v="Kurzman; Britannica; CorrelatesOfWar"/>
        <s v="Amnesty; IDF; Lebanese govt"/>
        <s v="CENTCOM; SIPRI"/>
        <s v="GlobalSecurity"/>
        <s v="B'Tselem; IDF"/>
        <s v="B'Tselem; IDF; OCHA"/>
        <s v="Iraq Body Count; Lancet; UNHCR"/>
        <s v="SIGACT; IraqBodyCount"/>
        <s v="OCHA; IDF; HRW"/>
        <s v="B'Tselem; IDF; UN"/>
        <s v="IDF; OCHA"/>
        <s v="B'Tselem; UN; IDF"/>
        <s v="SNHR; OHCHR; SOHR"/>
        <s v="CJTF-OIR; Airwars; ACLED"/>
        <s v="ACLED; OCHA; WHO"/>
        <s v="GHM; IDF; OHCHR; Wikipedia"/>
        <s v="Lebanese DDRM; IDF; Reuters"/>
        <s v="Wikipedia IT; Al Jazeera; IDF"/>
        <s v="Al Jazeera live tracker; SCMP; Canberra Times"/>
      </sharedItems>
    </cacheField>
    <cacheField name="reliability_score" numFmtId="0">
      <sharedItems containsSemiMixedTypes="0" containsString="0" containsNumber="1" containsInteger="1" minValue="5" maxValue="9" count="5">
        <n v="7"/>
        <n v="8"/>
        <n v="6"/>
        <n v="5"/>
        <n v="9"/>
      </sharedItems>
    </cacheField>
  </cacheFields>
  <extLst>
    <ext xmlns:x14="http://schemas.microsoft.com/office/spreadsheetml/2009/9/main" uri="{725AE2AE-9491-48be-B2B4-4EB974FC3084}">
      <x14:pivotCacheDefinition pivotCacheId="1669853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n v="6000"/>
    <n v="15000"/>
    <n v="10500"/>
    <n v="3500"/>
    <n v="0.45"/>
    <n v="0.25"/>
    <n v="0.3"/>
    <n v="1575"/>
    <n v="875"/>
    <n v="1050"/>
    <n v="20000"/>
    <n v="7000"/>
    <n v="1200"/>
    <n v="750000"/>
    <n v="700000"/>
    <x v="0"/>
    <n v="500"/>
    <n v="2"/>
    <n v="1"/>
    <x v="0"/>
    <x v="0"/>
  </r>
  <r>
    <x v="1"/>
    <x v="1"/>
    <n v="1000"/>
    <n v="3200"/>
    <n v="2100"/>
    <n v="600"/>
    <n v="0.5"/>
    <n v="0.2"/>
    <n v="0.3"/>
    <n v="300"/>
    <n v="120"/>
    <n v="180"/>
    <n v="4000"/>
    <n v="6000"/>
    <n v="500"/>
    <n v="230000"/>
    <n v="50000"/>
    <x v="1"/>
    <n v="100"/>
    <n v="0"/>
    <n v="0"/>
    <x v="1"/>
    <x v="0"/>
  </r>
  <r>
    <x v="2"/>
    <x v="2"/>
    <n v="750"/>
    <n v="21000"/>
    <n v="10875"/>
    <n v="1000"/>
    <n v="0.55000000000000004"/>
    <n v="0.2"/>
    <n v="0.25"/>
    <n v="550"/>
    <n v="200"/>
    <n v="250"/>
    <n v="45000"/>
    <n v="10000"/>
    <n v="1000"/>
    <n v="350000"/>
    <n v="300000"/>
    <x v="2"/>
    <n v="200"/>
    <n v="0"/>
    <n v="0"/>
    <x v="2"/>
    <x v="1"/>
  </r>
  <r>
    <x v="3"/>
    <x v="3"/>
    <n v="500"/>
    <n v="2000"/>
    <n v="1250"/>
    <n v="300"/>
    <n v="0.6"/>
    <n v="0.2"/>
    <n v="0.2"/>
    <n v="180"/>
    <n v="60"/>
    <n v="60"/>
    <n v="3000"/>
    <n v="500"/>
    <n v="200"/>
    <m/>
    <m/>
    <x v="3"/>
    <n v="50"/>
    <n v="0"/>
    <n v="0"/>
    <x v="3"/>
    <x v="2"/>
  </r>
  <r>
    <x v="4"/>
    <x v="4"/>
    <n v="3000"/>
    <n v="5000"/>
    <n v="4000"/>
    <n v="2000"/>
    <n v="0.4"/>
    <n v="0.3"/>
    <n v="0.3"/>
    <n v="800"/>
    <n v="600"/>
    <n v="600"/>
    <n v="10000"/>
    <n v="2000"/>
    <n v="500"/>
    <n v="100000"/>
    <n v="50000"/>
    <x v="3"/>
    <n v="200"/>
    <n v="0"/>
    <n v="0"/>
    <x v="4"/>
    <x v="3"/>
  </r>
  <r>
    <x v="5"/>
    <x v="5"/>
    <n v="2521"/>
    <n v="18500"/>
    <n v="10510.5"/>
    <n v="1000"/>
    <n v="0.55000000000000004"/>
    <n v="0.2"/>
    <n v="0.25"/>
    <n v="550"/>
    <n v="200"/>
    <n v="250"/>
    <n v="35000"/>
    <n v="10000"/>
    <n v="2000"/>
    <n v="300000"/>
    <n v="100000"/>
    <x v="2"/>
    <n v="150"/>
    <n v="0"/>
    <n v="0"/>
    <x v="5"/>
    <x v="1"/>
  </r>
  <r>
    <x v="6"/>
    <x v="6"/>
    <n v="100000"/>
    <n v="170000"/>
    <n v="135000"/>
    <n v="100000"/>
    <n v="0.35"/>
    <n v="0.3"/>
    <n v="0.35"/>
    <n v="35000"/>
    <n v="30000"/>
    <n v="35000"/>
    <n v="300000"/>
    <n v="15000"/>
    <n v="17000"/>
    <n v="1000000"/>
    <n v="500000"/>
    <x v="4"/>
    <n v="30000"/>
    <n v="30"/>
    <n v="20"/>
    <x v="6"/>
    <x v="3"/>
  </r>
  <r>
    <x v="7"/>
    <x v="7"/>
    <n v="1100"/>
    <n v="2000"/>
    <n v="1550"/>
    <n v="1000"/>
    <n v="0.4"/>
    <n v="0.3"/>
    <n v="0.3"/>
    <n v="400"/>
    <n v="300"/>
    <n v="300"/>
    <n v="4000"/>
    <n v="500"/>
    <n v="300"/>
    <n v="250000"/>
    <n v="50000"/>
    <x v="1"/>
    <n v="200"/>
    <n v="0"/>
    <n v="1"/>
    <x v="7"/>
    <x v="2"/>
  </r>
  <r>
    <x v="8"/>
    <x v="8"/>
    <n v="500000"/>
    <n v="1000000"/>
    <n v="750000"/>
    <n v="100000"/>
    <n v="0.5"/>
    <n v="0.2"/>
    <n v="0.3"/>
    <n v="50000"/>
    <n v="20000"/>
    <n v="30000"/>
    <n v="1500000"/>
    <n v="80000"/>
    <n v="50000"/>
    <n v="4000000"/>
    <n v="2500000"/>
    <x v="5"/>
    <n v="50000"/>
    <n v="10"/>
    <n v="5"/>
    <x v="8"/>
    <x v="3"/>
  </r>
  <r>
    <x v="9"/>
    <x v="9"/>
    <n v="6000"/>
    <n v="18000"/>
    <n v="12000"/>
    <n v="17500"/>
    <n v="0.35"/>
    <n v="0.3"/>
    <n v="0.35"/>
    <n v="6125"/>
    <n v="5250"/>
    <n v="6100"/>
    <n v="30000"/>
    <n v="8000"/>
    <n v="3000"/>
    <n v="800000"/>
    <n v="400000"/>
    <x v="6"/>
    <n v="5000"/>
    <n v="20"/>
    <n v="10"/>
    <x v="9"/>
    <x v="3"/>
  </r>
  <r>
    <x v="10"/>
    <x v="10"/>
    <n v="25000"/>
    <n v="35000"/>
    <n v="30000"/>
    <n v="3500"/>
    <n v="0.45"/>
    <n v="0.25"/>
    <n v="0.3"/>
    <n v="1575"/>
    <n v="875"/>
    <n v="1050"/>
    <n v="75000"/>
    <n v="80000"/>
    <n v="5000"/>
    <n v="5000000"/>
    <n v="3000000"/>
    <x v="7"/>
    <n v="2000"/>
    <n v="0"/>
    <n v="2"/>
    <x v="10"/>
    <x v="4"/>
  </r>
  <r>
    <x v="11"/>
    <x v="11"/>
    <n v="1500"/>
    <n v="3000"/>
    <n v="2250"/>
    <n v="600"/>
    <n v="0.55000000000000004"/>
    <n v="0.2"/>
    <n v="0.25"/>
    <n v="330"/>
    <n v="120"/>
    <n v="150"/>
    <n v="3000"/>
    <m/>
    <m/>
    <m/>
    <m/>
    <x v="6"/>
    <n v="200"/>
    <n v="0"/>
    <n v="0"/>
    <x v="11"/>
    <x v="2"/>
  </r>
  <r>
    <x v="12"/>
    <x v="12"/>
    <n v="1000"/>
    <n v="2000"/>
    <n v="1500"/>
    <n v="750"/>
    <n v="0.4"/>
    <n v="0.25"/>
    <n v="0.35"/>
    <n v="300"/>
    <n v="187.5"/>
    <n v="260"/>
    <n v="80000"/>
    <n v="5000"/>
    <n v="500"/>
    <n v="100000"/>
    <n v="50000"/>
    <x v="6"/>
    <n v="200"/>
    <n v="2"/>
    <n v="1"/>
    <x v="12"/>
    <x v="0"/>
  </r>
  <r>
    <x v="13"/>
    <x v="13"/>
    <n v="3000"/>
    <n v="5000"/>
    <n v="4000"/>
    <n v="2000"/>
    <n v="0.4"/>
    <n v="0.25"/>
    <n v="0.35"/>
    <n v="800"/>
    <n v="500"/>
    <n v="700"/>
    <n v="50000"/>
    <n v="3000"/>
    <n v="800"/>
    <n v="200000"/>
    <n v="50000"/>
    <x v="4"/>
    <n v="500"/>
    <n v="5"/>
    <n v="2"/>
    <x v="13"/>
    <x v="1"/>
  </r>
  <r>
    <x v="14"/>
    <x v="14"/>
    <n v="150000"/>
    <n v="300000"/>
    <n v="225000"/>
    <n v="200000"/>
    <n v="0.35"/>
    <n v="0.3"/>
    <n v="0.35"/>
    <n v="70000"/>
    <n v="60000"/>
    <n v="70000"/>
    <n v="100000"/>
    <n v="20000"/>
    <n v="8000"/>
    <n v="4500000"/>
    <n v="2000000"/>
    <x v="8"/>
    <n v="100000"/>
    <n v="150"/>
    <n v="80"/>
    <x v="14"/>
    <x v="1"/>
  </r>
  <r>
    <x v="15"/>
    <x v="15"/>
    <n v="10000"/>
    <n v="20000"/>
    <n v="15000"/>
    <n v="25000"/>
    <n v="0.35"/>
    <n v="0.25"/>
    <n v="0.4"/>
    <n v="8750"/>
    <n v="6250"/>
    <n v="10000"/>
    <n v="80000"/>
    <n v="3000"/>
    <n v="5000"/>
    <n v="2000000"/>
    <n v="500000"/>
    <x v="7"/>
    <n v="20000"/>
    <n v="30"/>
    <n v="10"/>
    <x v="15"/>
    <x v="0"/>
  </r>
  <r>
    <x v="16"/>
    <x v="16"/>
    <n v="1365"/>
    <n v="1500"/>
    <n v="1432.5"/>
    <n v="1200"/>
    <n v="0.35"/>
    <n v="0.3"/>
    <n v="0.35"/>
    <n v="420"/>
    <n v="360"/>
    <n v="420"/>
    <n v="4400"/>
    <n v="200"/>
    <n v="400"/>
    <n v="1000000"/>
    <n v="100000"/>
    <x v="9"/>
    <n v="300"/>
    <n v="1"/>
    <n v="2"/>
    <x v="16"/>
    <x v="1"/>
  </r>
  <r>
    <x v="17"/>
    <x v="17"/>
    <n v="1390"/>
    <n v="1440"/>
    <n v="1415"/>
    <n v="350"/>
    <n v="0.3"/>
    <n v="0.3"/>
    <n v="0.4"/>
    <n v="105"/>
    <n v="105"/>
    <n v="490"/>
    <n v="5300"/>
    <n v="100"/>
    <n v="200"/>
    <n v="250000"/>
    <m/>
    <x v="9"/>
    <n v="200"/>
    <n v="0"/>
    <n v="1"/>
    <x v="17"/>
    <x v="1"/>
  </r>
  <r>
    <x v="18"/>
    <x v="18"/>
    <n v="170"/>
    <n v="180"/>
    <n v="175"/>
    <n v="15"/>
    <n v="0.3"/>
    <n v="0.3"/>
    <n v="0.4"/>
    <n v="4.5"/>
    <n v="4.5"/>
    <n v="60"/>
    <n v="1200"/>
    <m/>
    <m/>
    <n v="100000"/>
    <m/>
    <x v="9"/>
    <n v="30"/>
    <n v="0"/>
    <n v="0"/>
    <x v="18"/>
    <x v="1"/>
  </r>
  <r>
    <x v="19"/>
    <x v="19"/>
    <n v="2100"/>
    <n v="2200"/>
    <n v="2150"/>
    <n v="1500"/>
    <n v="0.3"/>
    <n v="0.27"/>
    <n v="0.43"/>
    <n v="450"/>
    <n v="405"/>
    <n v="640"/>
    <n v="11000"/>
    <n v="300"/>
    <n v="300"/>
    <n v="500000"/>
    <m/>
    <x v="6"/>
    <n v="500"/>
    <n v="2"/>
    <n v="1"/>
    <x v="19"/>
    <x v="1"/>
  </r>
  <r>
    <x v="20"/>
    <x v="20"/>
    <n v="350000"/>
    <n v="500000"/>
    <n v="425000"/>
    <n v="250000"/>
    <n v="0.35"/>
    <n v="0.28000000000000003"/>
    <n v="0.37"/>
    <n v="87500"/>
    <n v="70000"/>
    <n v="92000"/>
    <n v="1000000"/>
    <n v="100000"/>
    <n v="200000"/>
    <n v="13000000"/>
    <n v="6600000"/>
    <x v="10"/>
    <n v="150000"/>
    <n v="600"/>
    <n v="100"/>
    <x v="20"/>
    <x v="0"/>
  </r>
  <r>
    <x v="21"/>
    <x v="21"/>
    <n v="30000"/>
    <n v="55000"/>
    <n v="42500"/>
    <n v="11000"/>
    <n v="0.35"/>
    <n v="0.25"/>
    <n v="0.4"/>
    <n v="3849.9999999999995"/>
    <n v="2750"/>
    <n v="4400"/>
    <n v="40000"/>
    <n v="12000"/>
    <n v="5000"/>
    <n v="8000000"/>
    <n v="3500000"/>
    <x v="8"/>
    <n v="20000"/>
    <n v="50"/>
    <n v="30"/>
    <x v="21"/>
    <x v="1"/>
  </r>
  <r>
    <x v="22"/>
    <x v="22"/>
    <n v="150000"/>
    <n v="377000"/>
    <n v="263500"/>
    <n v="100000"/>
    <n v="0.4"/>
    <n v="0.28000000000000003"/>
    <n v="0.32"/>
    <n v="40000"/>
    <n v="28000.000000000004"/>
    <n v="32000"/>
    <n v="400000"/>
    <n v="20000"/>
    <n v="30000"/>
    <n v="4500000"/>
    <n v="200000"/>
    <x v="11"/>
    <n v="200000"/>
    <n v="30"/>
    <n v="25"/>
    <x v="22"/>
    <x v="2"/>
  </r>
  <r>
    <x v="23"/>
    <x v="23"/>
    <n v="70000"/>
    <n v="80000"/>
    <n v="75000"/>
    <n v="58000"/>
    <n v="0.2"/>
    <n v="0.3"/>
    <n v="0.5"/>
    <n v="11600"/>
    <n v="17400"/>
    <n v="29000"/>
    <n v="100000"/>
    <n v="251"/>
    <n v="10000"/>
    <n v="2000000"/>
    <n v="100000"/>
    <x v="12"/>
    <n v="20000"/>
    <n v="248"/>
    <n v="224"/>
    <x v="23"/>
    <x v="1"/>
  </r>
  <r>
    <x v="24"/>
    <x v="24"/>
    <n v="4300"/>
    <n v="7000"/>
    <n v="5650"/>
    <n v="3000"/>
    <n v="0.35"/>
    <n v="0.3"/>
    <n v="0.35"/>
    <n v="1050"/>
    <n v="900"/>
    <n v="1050"/>
    <n v="15000"/>
    <n v="200"/>
    <n v="500"/>
    <n v="1200000"/>
    <n v="100000"/>
    <x v="6"/>
    <n v="500"/>
    <n v="5"/>
    <n v="3"/>
    <x v="24"/>
    <x v="0"/>
  </r>
  <r>
    <x v="25"/>
    <x v="25"/>
    <n v="2000"/>
    <n v="3000"/>
    <n v="2500"/>
    <n v="2000"/>
    <n v="0.4"/>
    <n v="0.3"/>
    <n v="0.3"/>
    <n v="800"/>
    <n v="600"/>
    <n v="600"/>
    <n v="8000"/>
    <n v="2"/>
    <n v="100"/>
    <n v="500000"/>
    <m/>
    <x v="13"/>
    <n v="200"/>
    <n v="2"/>
    <n v="1"/>
    <x v="25"/>
    <x v="0"/>
  </r>
  <r>
    <x v="26"/>
    <x v="26"/>
    <n v="1270"/>
    <n v="2000"/>
    <n v="1635"/>
    <n v="1300"/>
    <n v="0.38"/>
    <n v="0.32"/>
    <n v="0.3"/>
    <n v="494"/>
    <n v="416"/>
    <n v="390"/>
    <n v="5000"/>
    <m/>
    <m/>
    <n v="1000000"/>
    <m/>
    <x v="5"/>
    <n v="100"/>
    <n v="5"/>
    <n v="3"/>
    <x v="2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41FC5-FCB4-46B7-BA92-FA1F548E48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T3" firstHeaderRow="1" firstDataRow="1" firstDataCol="0"/>
  <pivotFields count="23">
    <pivotField showAll="0"/>
    <pivotField showAll="0"/>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total_affected_pop"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F05435-7036-4688-AB34-9CED7E8A0EA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L3:M30" firstHeaderRow="1" firstDataRow="1" firstDataCol="1"/>
  <pivotFields count="23">
    <pivotField showAll="0"/>
    <pivotField axis="axisRow" showAll="0" sortType="descending">
      <items count="28">
        <item x="0"/>
        <item x="12"/>
        <item x="16"/>
        <item x="13"/>
        <item x="4"/>
        <item x="17"/>
        <item x="18"/>
        <item x="19"/>
        <item x="23"/>
        <item x="10"/>
        <item x="26"/>
        <item x="8"/>
        <item x="14"/>
        <item x="15"/>
        <item x="11"/>
        <item x="21"/>
        <item x="9"/>
        <item x="24"/>
        <item x="6"/>
        <item x="7"/>
        <item x="2"/>
        <item x="1"/>
        <item x="20"/>
        <item x="25"/>
        <item x="3"/>
        <item x="2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dataField="1" showAll="0">
      <items count="15">
        <item x="3"/>
        <item x="1"/>
        <item x="2"/>
        <item x="9"/>
        <item x="6"/>
        <item x="12"/>
        <item x="4"/>
        <item x="0"/>
        <item x="13"/>
        <item x="7"/>
        <item x="5"/>
        <item x="8"/>
        <item x="10"/>
        <item x="11"/>
        <item t="default"/>
      </items>
    </pivotField>
    <pivotField showAll="0"/>
    <pivotField showAll="0"/>
    <pivotField showAll="0"/>
    <pivotField showAll="0">
      <items count="28">
        <item h="1" x="22"/>
        <item h="1" x="26"/>
        <item h="1" x="9"/>
        <item h="1" x="4"/>
        <item h="1" x="0"/>
        <item h="1" x="12"/>
        <item h="1" x="13"/>
        <item x="17"/>
        <item h="1" x="19"/>
        <item h="1" x="10"/>
        <item h="1" x="2"/>
        <item h="1" x="21"/>
        <item h="1" x="6"/>
        <item h="1" x="23"/>
        <item h="1" x="11"/>
        <item h="1" x="5"/>
        <item h="1" x="18"/>
        <item h="1" x="3"/>
        <item h="1" x="14"/>
        <item h="1" x="8"/>
        <item h="1" x="24"/>
        <item h="1" x="16"/>
        <item h="1" x="15"/>
        <item h="1" x="1"/>
        <item h="1" x="20"/>
        <item h="1" x="7"/>
        <item h="1" x="25"/>
        <item t="default"/>
      </items>
    </pivotField>
    <pivotField showAll="0">
      <items count="6">
        <item h="1" x="3"/>
        <item h="1" x="2"/>
        <item x="0"/>
        <item h="1" x="1"/>
        <item h="1" x="4"/>
        <item t="default"/>
      </items>
    </pivotField>
  </pivotFields>
  <rowFields count="1">
    <field x="1"/>
  </rowFields>
  <rowItems count="27">
    <i>
      <x v="25"/>
    </i>
    <i>
      <x v="22"/>
    </i>
    <i>
      <x v="15"/>
    </i>
    <i>
      <x v="12"/>
    </i>
    <i>
      <x v="10"/>
    </i>
    <i>
      <x v="11"/>
    </i>
    <i>
      <x v="9"/>
    </i>
    <i>
      <x v="13"/>
    </i>
    <i>
      <x v="23"/>
    </i>
    <i>
      <x/>
    </i>
    <i>
      <x v="18"/>
    </i>
    <i>
      <x v="3"/>
    </i>
    <i>
      <x v="8"/>
    </i>
    <i>
      <x v="1"/>
    </i>
    <i>
      <x v="16"/>
    </i>
    <i>
      <x v="7"/>
    </i>
    <i>
      <x v="14"/>
    </i>
    <i>
      <x v="17"/>
    </i>
    <i>
      <x v="5"/>
    </i>
    <i>
      <x v="2"/>
    </i>
    <i>
      <x v="6"/>
    </i>
    <i>
      <x v="26"/>
    </i>
    <i>
      <x v="20"/>
    </i>
    <i>
      <x v="19"/>
    </i>
    <i>
      <x v="21"/>
    </i>
    <i>
      <x v="4"/>
    </i>
    <i>
      <x v="24"/>
    </i>
  </rowItems>
  <colItems count="1">
    <i/>
  </colItems>
  <dataFields count="1">
    <dataField name="Sum of total_affected_pop" fld="17" baseField="1" baseItem="5"/>
  </dataFields>
  <chartFormats count="1">
    <chartFormat chart="2"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B8235-1C58-4D2C-9764-383C48E643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6:I54" firstHeaderRow="0" firstDataRow="1" firstDataCol="1"/>
  <pivotFields count="23">
    <pivotField showAll="0"/>
    <pivotField axis="axisRow" showAll="0">
      <items count="28">
        <item x="0"/>
        <item x="12"/>
        <item x="16"/>
        <item x="13"/>
        <item x="4"/>
        <item x="17"/>
        <item x="18"/>
        <item x="19"/>
        <item x="23"/>
        <item x="10"/>
        <item x="26"/>
        <item x="8"/>
        <item x="14"/>
        <item x="15"/>
        <item x="11"/>
        <item x="21"/>
        <item x="9"/>
        <item x="24"/>
        <item x="6"/>
        <item x="7"/>
        <item x="2"/>
        <item x="1"/>
        <item x="20"/>
        <item x="25"/>
        <item x="3"/>
        <item x="22"/>
        <item x="5"/>
        <item t="default"/>
      </items>
    </pivotField>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items count="28">
        <item h="1" x="22"/>
        <item h="1" x="26"/>
        <item h="1" x="9"/>
        <item h="1" x="4"/>
        <item h="1" x="0"/>
        <item h="1" x="12"/>
        <item h="1" x="13"/>
        <item x="17"/>
        <item h="1" x="19"/>
        <item h="1" x="10"/>
        <item h="1" x="2"/>
        <item h="1" x="21"/>
        <item h="1" x="6"/>
        <item h="1" x="23"/>
        <item h="1" x="11"/>
        <item h="1" x="5"/>
        <item h="1" x="18"/>
        <item h="1" x="3"/>
        <item h="1" x="14"/>
        <item h="1" x="8"/>
        <item h="1" x="24"/>
        <item h="1" x="16"/>
        <item h="1" x="15"/>
        <item h="1" x="1"/>
        <item h="1" x="20"/>
        <item h="1" x="7"/>
        <item h="1" x="25"/>
        <item t="default"/>
      </items>
    </pivotField>
    <pivotField showAll="0">
      <items count="6">
        <item h="1" x="3"/>
        <item h="1" x="2"/>
        <item x="0"/>
        <item h="1" x="1"/>
        <item h="1" x="4"/>
        <item t="default"/>
      </items>
    </pivotField>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displaced_persons" fld="15" baseField="0" baseItem="0"/>
    <dataField name="Sum of refugees_abroad" fld="1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00C0CA-CE5B-491F-8167-CABB50439E3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L34:N61" firstHeaderRow="0" firstDataRow="1" firstDataCol="1"/>
  <pivotFields count="23">
    <pivotField showAll="0"/>
    <pivotField axis="axisRow" showAll="0">
      <items count="28">
        <item x="0"/>
        <item x="12"/>
        <item x="16"/>
        <item x="13"/>
        <item x="4"/>
        <item x="17"/>
        <item x="18"/>
        <item x="19"/>
        <item x="23"/>
        <item x="10"/>
        <item x="26"/>
        <item x="8"/>
        <item x="14"/>
        <item x="15"/>
        <item x="11"/>
        <item x="21"/>
        <item x="9"/>
        <item x="24"/>
        <item x="6"/>
        <item x="7"/>
        <item x="2"/>
        <item x="1"/>
        <item x="20"/>
        <item x="25"/>
        <item x="3"/>
        <item x="22"/>
        <item x="5"/>
        <item t="default"/>
      </items>
    </pivotField>
    <pivotField showAll="0"/>
    <pivotField showAll="0"/>
    <pivotField dataField="1"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28">
        <item h="1" x="22"/>
        <item h="1" x="26"/>
        <item h="1" x="9"/>
        <item h="1" x="4"/>
        <item h="1" x="0"/>
        <item h="1" x="12"/>
        <item h="1" x="13"/>
        <item x="17"/>
        <item h="1" x="19"/>
        <item h="1" x="10"/>
        <item h="1" x="2"/>
        <item h="1" x="21"/>
        <item h="1" x="6"/>
        <item h="1" x="23"/>
        <item h="1" x="11"/>
        <item h="1" x="5"/>
        <item h="1" x="18"/>
        <item h="1" x="3"/>
        <item h="1" x="14"/>
        <item h="1" x="8"/>
        <item h="1" x="24"/>
        <item h="1" x="16"/>
        <item h="1" x="15"/>
        <item h="1" x="1"/>
        <item h="1" x="20"/>
        <item h="1" x="7"/>
        <item h="1" x="25"/>
        <item t="default"/>
      </items>
    </pivotField>
    <pivotField showAll="0">
      <items count="6">
        <item h="1" x="3"/>
        <item h="1" x="2"/>
        <item x="0"/>
        <item h="1" x="1"/>
        <item h="1" x="4"/>
        <item t="default"/>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Fields count="1">
    <field x="-2"/>
  </colFields>
  <colItems count="2">
    <i>
      <x/>
    </i>
    <i i="1">
      <x v="1"/>
    </i>
  </colItems>
  <dataFields count="2">
    <dataField name="Sum of average_Dead_estimate" fld="4" baseField="0" baseItem="0"/>
    <dataField name="Sum of famine_disease_deaths_indirect" fld="1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EE0A1E-F3C6-4E24-996F-01C5A70154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P3" firstHeaderRow="1" firstDataRow="1" firstDataCol="0"/>
  <pivotFields count="23">
    <pivotField dataField="1"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onflict_id" fld="0" subtotal="count" baseField="0" baseItem="0"/>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1F47C2-4388-4164-A38F-09AAFB21B0AD}"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7">
  <location ref="A1" firstHeaderRow="0" firstDataRow="0" firstDataCol="0"/>
  <pivotFields count="23">
    <pivotField showAll="0"/>
    <pivotField axis="axisRow" showAll="0" sortType="descending">
      <items count="28">
        <item x="0"/>
        <item x="12"/>
        <item x="16"/>
        <item x="13"/>
        <item x="4"/>
        <item x="17"/>
        <item x="18"/>
        <item x="19"/>
        <item x="23"/>
        <item x="10"/>
        <item x="26"/>
        <item x="8"/>
        <item x="14"/>
        <item x="15"/>
        <item x="11"/>
        <item x="21"/>
        <item x="9"/>
        <item x="24"/>
        <item x="6"/>
        <item x="7"/>
        <item x="2"/>
        <item x="1"/>
        <item x="20"/>
        <item x="25"/>
        <item x="3"/>
        <item x="22"/>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8">
        <item h="1" x="22"/>
        <item h="1" x="26"/>
        <item h="1" x="9"/>
        <item h="1" x="4"/>
        <item h="1" x="0"/>
        <item h="1" x="12"/>
        <item h="1" x="13"/>
        <item x="17"/>
        <item h="1" x="19"/>
        <item h="1" x="10"/>
        <item h="1" x="2"/>
        <item h="1" x="21"/>
        <item h="1" x="6"/>
        <item h="1" x="23"/>
        <item h="1" x="11"/>
        <item h="1" x="5"/>
        <item h="1" x="18"/>
        <item h="1" x="3"/>
        <item h="1" x="14"/>
        <item h="1" x="8"/>
        <item h="1" x="24"/>
        <item h="1" x="16"/>
        <item h="1" x="15"/>
        <item h="1" x="1"/>
        <item h="1" x="20"/>
        <item h="1" x="7"/>
        <item h="1" x="25"/>
        <item t="default"/>
      </items>
    </pivotField>
    <pivotField showAll="0">
      <items count="6">
        <item h="1" x="3"/>
        <item h="1" x="2"/>
        <item x="0"/>
        <item h="1" x="1"/>
        <item h="1" x="4"/>
        <item t="default"/>
      </items>
    </pivotField>
  </pivotFields>
  <rowFields count="1">
    <field x="1"/>
  </rowFields>
  <rowItems count="27">
    <i>
      <x v="11"/>
    </i>
    <i>
      <x v="22"/>
    </i>
    <i>
      <x v="25"/>
    </i>
    <i>
      <x v="12"/>
    </i>
    <i>
      <x v="18"/>
    </i>
    <i>
      <x v="8"/>
    </i>
    <i>
      <x v="15"/>
    </i>
    <i>
      <x v="9"/>
    </i>
    <i>
      <x v="13"/>
    </i>
    <i>
      <x v="16"/>
    </i>
    <i>
      <x v="20"/>
    </i>
    <i>
      <x v="26"/>
    </i>
    <i>
      <x/>
    </i>
    <i>
      <x v="17"/>
    </i>
    <i>
      <x v="3"/>
    </i>
    <i>
      <x v="4"/>
    </i>
    <i>
      <x v="23"/>
    </i>
    <i>
      <x v="14"/>
    </i>
    <i>
      <x v="7"/>
    </i>
    <i>
      <x v="21"/>
    </i>
    <i>
      <x v="10"/>
    </i>
    <i>
      <x v="19"/>
    </i>
    <i>
      <x v="1"/>
    </i>
    <i>
      <x v="2"/>
    </i>
    <i>
      <x v="5"/>
    </i>
    <i>
      <x v="24"/>
    </i>
    <i>
      <x v="6"/>
    </i>
  </rowItems>
  <colItems count="1">
    <i/>
  </colItems>
  <dataFields count="1">
    <dataField name=" " fld="4"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1BF285-28B8-49A3-9B25-7F9631C6EE7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27:D54" firstHeaderRow="0" firstDataRow="1" firstDataCol="1"/>
  <pivotFields count="23">
    <pivotField showAll="0"/>
    <pivotField axis="axisRow" showAll="0">
      <items count="28">
        <item x="0"/>
        <item x="12"/>
        <item x="16"/>
        <item x="13"/>
        <item x="4"/>
        <item x="17"/>
        <item x="18"/>
        <item x="19"/>
        <item x="23"/>
        <item x="10"/>
        <item x="26"/>
        <item x="8"/>
        <item x="14"/>
        <item x="15"/>
        <item x="11"/>
        <item x="21"/>
        <item x="9"/>
        <item x="24"/>
        <item x="6"/>
        <item x="7"/>
        <item x="2"/>
        <item x="1"/>
        <item x="20"/>
        <item x="25"/>
        <item x="3"/>
        <item x="22"/>
        <item x="5"/>
        <item t="default"/>
      </items>
    </pivotField>
    <pivotField showAll="0"/>
    <pivotField showAll="0"/>
    <pivotField showAll="0"/>
    <pivotField showAll="0"/>
    <pivotField numFmtId="9" showAll="0"/>
    <pivotField numFmtId="9" showAll="0"/>
    <pivotField numFmtId="9"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28">
        <item h="1" x="22"/>
        <item h="1" x="26"/>
        <item h="1" x="9"/>
        <item h="1" x="4"/>
        <item h="1" x="0"/>
        <item h="1" x="12"/>
        <item h="1" x="13"/>
        <item x="17"/>
        <item h="1" x="19"/>
        <item h="1" x="10"/>
        <item h="1" x="2"/>
        <item h="1" x="21"/>
        <item h="1" x="6"/>
        <item h="1" x="23"/>
        <item h="1" x="11"/>
        <item h="1" x="5"/>
        <item h="1" x="18"/>
        <item h="1" x="3"/>
        <item h="1" x="14"/>
        <item h="1" x="8"/>
        <item h="1" x="24"/>
        <item h="1" x="16"/>
        <item h="1" x="15"/>
        <item h="1" x="1"/>
        <item h="1" x="20"/>
        <item h="1" x="7"/>
        <item h="1" x="25"/>
        <item t="default"/>
      </items>
    </pivotField>
    <pivotField showAll="0">
      <items count="6">
        <item h="1" x="3"/>
        <item h="1" x="2"/>
        <item x="0"/>
        <item h="1" x="1"/>
        <item h="1" x="4"/>
        <item t="default"/>
      </items>
    </pivotField>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Fields count="1">
    <field x="-2"/>
  </colFields>
  <colItems count="3">
    <i>
      <x/>
    </i>
    <i i="1">
      <x v="1"/>
    </i>
    <i i="2">
      <x v="2"/>
    </i>
  </colItems>
  <dataFields count="3">
    <dataField name="Sum of civ_men_absolute_est" fld="9" baseField="0" baseItem="0"/>
    <dataField name="Sum of civ_women_absolute_est" fld="10" baseField="0" baseItem="0"/>
    <dataField name="Sum of civ_children_absolute_est" fld="11" baseField="0" baseItem="0"/>
  </dataFields>
  <chartFormats count="3">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DC3B93-8342-4868-9FB9-E475C7D81FD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R3" firstHeaderRow="1" firstDataRow="1" firstDataCol="0"/>
  <pivotFields count="23">
    <pivotField showAll="0"/>
    <pivotField showAll="0"/>
    <pivotField showAll="0"/>
    <pivotField showAll="0"/>
    <pivotField dataField="1"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average_Dead_estimat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803F70-CCF1-4258-93E9-B2F4FE76257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8:R9" firstHeaderRow="1" firstDataRow="1" firstDataCol="0"/>
  <pivotFields count="23">
    <pivotField showAll="0"/>
    <pivotField showAll="0"/>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refugees_abroad"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EBF180-4220-47A5-A3E4-490A4DFA718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8:T9" firstHeaderRow="1" firstDataRow="1" firstDataCol="0"/>
  <pivotFields count="23">
    <pivotField showAll="0"/>
    <pivotField showAll="0"/>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reliability_score" fld="2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87E4C7-83BE-4A24-A453-2A7352215338}" name="PivotTable1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7">
  <location ref="C65:D92" firstHeaderRow="1" firstDataRow="1" firstDataCol="1"/>
  <pivotFields count="23">
    <pivotField showAll="0"/>
    <pivotField axis="axisRow" showAll="0" sortType="descending">
      <items count="28">
        <item x="0"/>
        <item x="12"/>
        <item x="16"/>
        <item x="13"/>
        <item x="4"/>
        <item x="17"/>
        <item x="18"/>
        <item x="19"/>
        <item x="23"/>
        <item x="10"/>
        <item x="26"/>
        <item x="8"/>
        <item x="14"/>
        <item x="15"/>
        <item x="11"/>
        <item x="21"/>
        <item x="9"/>
        <item x="24"/>
        <item x="6"/>
        <item x="7"/>
        <item x="2"/>
        <item x="1"/>
        <item x="20"/>
        <item x="25"/>
        <item x="3"/>
        <item x="22"/>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8">
        <item h="1" x="22"/>
        <item h="1" x="26"/>
        <item h="1" x="9"/>
        <item h="1" x="4"/>
        <item h="1" x="0"/>
        <item h="1" x="12"/>
        <item h="1" x="13"/>
        <item x="17"/>
        <item h="1" x="19"/>
        <item h="1" x="10"/>
        <item h="1" x="2"/>
        <item h="1" x="21"/>
        <item h="1" x="6"/>
        <item h="1" x="23"/>
        <item h="1" x="11"/>
        <item h="1" x="5"/>
        <item h="1" x="18"/>
        <item h="1" x="3"/>
        <item h="1" x="14"/>
        <item h="1" x="8"/>
        <item h="1" x="24"/>
        <item h="1" x="16"/>
        <item h="1" x="15"/>
        <item h="1" x="1"/>
        <item h="1" x="20"/>
        <item h="1" x="7"/>
        <item h="1" x="25"/>
        <item t="default"/>
      </items>
    </pivotField>
    <pivotField showAll="0">
      <items count="6">
        <item h="1" x="3"/>
        <item h="1" x="2"/>
        <item x="0"/>
        <item h="1" x="1"/>
        <item h="1" x="4"/>
        <item t="default"/>
      </items>
    </pivotField>
  </pivotFields>
  <rowFields count="1">
    <field x="1"/>
  </rowFields>
  <rowItems count="27">
    <i>
      <x v="11"/>
    </i>
    <i>
      <x v="22"/>
    </i>
    <i>
      <x v="25"/>
    </i>
    <i>
      <x v="12"/>
    </i>
    <i>
      <x v="18"/>
    </i>
    <i>
      <x v="8"/>
    </i>
    <i>
      <x v="15"/>
    </i>
    <i>
      <x v="9"/>
    </i>
    <i>
      <x v="13"/>
    </i>
    <i>
      <x v="16"/>
    </i>
    <i>
      <x v="20"/>
    </i>
    <i>
      <x v="26"/>
    </i>
    <i>
      <x/>
    </i>
    <i>
      <x v="17"/>
    </i>
    <i>
      <x v="3"/>
    </i>
    <i>
      <x v="4"/>
    </i>
    <i>
      <x v="23"/>
    </i>
    <i>
      <x v="14"/>
    </i>
    <i>
      <x v="7"/>
    </i>
    <i>
      <x v="21"/>
    </i>
    <i>
      <x v="10"/>
    </i>
    <i>
      <x v="19"/>
    </i>
    <i>
      <x v="1"/>
    </i>
    <i>
      <x v="2"/>
    </i>
    <i>
      <x v="5"/>
    </i>
    <i>
      <x v="24"/>
    </i>
    <i>
      <x v="6"/>
    </i>
  </rowItems>
  <colItems count="1">
    <i/>
  </colItems>
  <dataFields count="1">
    <dataField name=" " fld="4" baseField="0" baseItem="0"/>
  </dataFields>
  <chartFormats count="2">
    <chartFormat chart="1"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9D011E-1510-47B5-B674-FAD0DB4927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P9" firstHeaderRow="1" firstDataRow="1" firstDataCol="0"/>
  <pivotFields count="23">
    <pivotField showAll="0"/>
    <pivotField showAll="0"/>
    <pivotField showAll="0"/>
    <pivotField showAll="0"/>
    <pivotField showAll="0"/>
    <pivotField showAll="0"/>
    <pivotField numFmtId="9" showAll="0"/>
    <pivotField numFmtId="9" showAll="0"/>
    <pivotField numFmtId="9"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displaced_person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27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lict_name" xr10:uid="{A1A9BAE0-A8DC-4D0A-A7BB-9606220D2110}" sourceName="conflict_name">
  <pivotTables>
    <pivotTable tabId="3" name="PivotTable1"/>
    <pivotTable tabId="3" name="PivotTable2"/>
    <pivotTable tabId="3" name="PivotTable3"/>
    <pivotTable tabId="3" name="PivotTable4"/>
    <pivotTable tabId="3" name="PivotTable5"/>
    <pivotTable tabId="3" name="PivotTable12"/>
  </pivotTables>
  <data>
    <tabular pivotCacheId="1669853278">
      <items count="27">
        <i x="0" s="1"/>
        <i x="12" s="1"/>
        <i x="16" s="1"/>
        <i x="13" s="1"/>
        <i x="4" s="1"/>
        <i x="17" s="1"/>
        <i x="18" s="1"/>
        <i x="19" s="1"/>
        <i x="23" s="1"/>
        <i x="10" s="1"/>
        <i x="26" s="1"/>
        <i x="8" s="1"/>
        <i x="14" s="1"/>
        <i x="15" s="1"/>
        <i x="11" s="1"/>
        <i x="21" s="1"/>
        <i x="9" s="1"/>
        <i x="24" s="1"/>
        <i x="6" s="1"/>
        <i x="7" s="1"/>
        <i x="2" s="1"/>
        <i x="1" s="1"/>
        <i x="20" s="1"/>
        <i x="25" s="1"/>
        <i x="3" s="1"/>
        <i x="2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flict_name" xr10:uid="{4DA3D7FB-BA87-4ECF-8D92-8215B68860A0}" cache="Slicer_conflict_name" caption="conflict_na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06E475-5E56-4A9D-9295-5AAB1B2F5FB4}" name="ConflictData" displayName="ConflictData" ref="A1:W28" totalsRowShown="0">
  <autoFilter ref="A1:W28" xr:uid="{F106E475-5E56-4A9D-9295-5AAB1B2F5FB4}"/>
  <tableColumns count="23">
    <tableColumn id="1" xr3:uid="{15731858-F757-41C1-8D1A-44CEBE3E315C}" name="conflict_id"/>
    <tableColumn id="2" xr3:uid="{B5DF8D61-7281-465F-8B63-0CF2C594A28A}" name="conflict_name"/>
    <tableColumn id="3" xr3:uid="{A2077C25-A0B7-4B3D-8612-817579BA0CC7}" name="total_dead_est_low"/>
    <tableColumn id="4" xr3:uid="{EEFD6C5A-BDC3-44B9-8208-4F59B5DFFCB2}" name="total_dead_est_high"/>
    <tableColumn id="24" xr3:uid="{F1C4659E-5FB7-48C0-9051-8586B30B24CC}" name="average_Dead_estimate" dataDxfId="14">
      <calculatedColumnFormula>(ConflictData[[#This Row],[total_dead_est_low]]+ConflictData[[#This Row],[total_dead_est_high]])/2</calculatedColumnFormula>
    </tableColumn>
    <tableColumn id="7" xr3:uid="{96314EFA-A54B-48B5-ADC7-A5F716D05566}" name="civilian_killed_est"/>
    <tableColumn id="8" xr3:uid="{CA7FB9C8-37BE-4E1F-B8A5-ADC54C835364}" name="civ_men_pct" dataDxfId="13"/>
    <tableColumn id="9" xr3:uid="{1CF15005-B480-4405-BE94-79B749ED306A}" name="civ_women_pct" dataDxfId="12"/>
    <tableColumn id="10" xr3:uid="{E77665F3-3A4D-466A-93B6-A733A437BAFB}" name="civ_children_pct" dataDxfId="11"/>
    <tableColumn id="27" xr3:uid="{A9D4E3DE-7164-4927-B52D-287C0F2BD53E}" name="civ_men_absolute_est" dataDxfId="10">
      <calculatedColumnFormula>ConflictData[[#This Row],[civilian_killed_est]]*ConflictData[[#This Row],[civ_men_pct]]</calculatedColumnFormula>
    </tableColumn>
    <tableColumn id="26" xr3:uid="{7332D031-F050-473D-86DE-8AF89804FA33}" name="civ_women_absolute_est" dataDxfId="9">
      <calculatedColumnFormula>ConflictData[[#This Row],[civilian_killed_est]]*ConflictData[[#This Row],[civ_women_pct]]</calculatedColumnFormula>
    </tableColumn>
    <tableColumn id="11" xr3:uid="{456C0A62-115B-4866-BC2F-2AE351D2B4CD}" name="civ_children_absolute_est" dataDxfId="8"/>
    <tableColumn id="12" xr3:uid="{6AF301EA-74E7-4A36-926D-EF3F6AF79872}" name="wounded_total_est" dataDxfId="7"/>
    <tableColumn id="13" xr3:uid="{2BB21535-C5BA-4D6F-989D-A07ACDE09A18}" name="pows_taken" dataDxfId="6"/>
    <tableColumn id="14" xr3:uid="{B8FECC84-BBCF-44E2-889A-0E6CA4BB6A1B}" name="missing_persons" dataDxfId="5"/>
    <tableColumn id="15" xr3:uid="{53BF7955-A289-4809-B119-77391FDFA457}" name="displaced_persons" dataDxfId="4"/>
    <tableColumn id="16" xr3:uid="{EF09ACAA-3877-4CC2-BD60-B5D48F70A4B5}" name="refugees_abroad" dataDxfId="3"/>
    <tableColumn id="17" xr3:uid="{3A4DDED6-3CCB-42E2-81B2-DD5897A5514A}" name="total_affected_pop" dataDxfId="2"/>
    <tableColumn id="18" xr3:uid="{90917D09-AA56-47A5-B869-436F1DE8A701}" name="famine_disease_deaths_indirect"/>
    <tableColumn id="19" xr3:uid="{2C7A5A53-1D2C-4690-967D-1DB113C378D4}" name="journalists_killed"/>
    <tableColumn id="20" xr3:uid="{ACE904AF-8674-4672-B84C-2C0FF2BC4E63}" name="aid_workers_killed"/>
    <tableColumn id="21" xr3:uid="{F945BD66-B840-498D-B0D1-01E26E9E8C00}" name="data_source"/>
    <tableColumn id="22" xr3:uid="{2BEBF914-6037-4891-8279-53B5457FF989}" name="reliability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442B-4C2F-49C9-B7A0-013F0CC354D9}">
  <dimension ref="A1:V28"/>
  <sheetViews>
    <sheetView topLeftCell="B1" workbookViewId="0">
      <selection activeCell="R1" sqref="R1"/>
    </sheetView>
  </sheetViews>
  <sheetFormatPr defaultRowHeight="14.4" x14ac:dyDescent="0.3"/>
  <cols>
    <col min="1" max="1" width="9.5546875" bestFit="1" customWidth="1"/>
    <col min="2" max="2" width="28.88671875" bestFit="1" customWidth="1"/>
    <col min="3" max="3" width="17.5546875" bestFit="1" customWidth="1"/>
    <col min="4" max="4" width="17.88671875" bestFit="1" customWidth="1"/>
    <col min="5" max="6" width="18.88671875" bestFit="1" customWidth="1"/>
    <col min="7" max="7" width="15.33203125" bestFit="1" customWidth="1"/>
    <col min="8" max="8" width="11.33203125" bestFit="1" customWidth="1"/>
    <col min="9" max="9" width="14" bestFit="1" customWidth="1"/>
    <col min="10" max="10" width="14.33203125" bestFit="1" customWidth="1"/>
    <col min="11" max="11" width="9" customWidth="1"/>
    <col min="12" max="12" width="17" bestFit="1" customWidth="1"/>
    <col min="13" max="13" width="10.88671875" bestFit="1" customWidth="1"/>
    <col min="14" max="14" width="14.33203125" bestFit="1" customWidth="1"/>
    <col min="15" max="15" width="16" bestFit="1" customWidth="1"/>
    <col min="16" max="16" width="14.88671875" bestFit="1" customWidth="1"/>
    <col min="17" max="17" width="17" bestFit="1" customWidth="1"/>
    <col min="18" max="18" width="27.6640625" bestFit="1" customWidth="1"/>
    <col min="21" max="21" width="38.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t="s">
        <v>23</v>
      </c>
      <c r="C2">
        <v>6000</v>
      </c>
      <c r="D2">
        <v>15000</v>
      </c>
      <c r="E2">
        <v>4074</v>
      </c>
      <c r="F2">
        <v>6000</v>
      </c>
      <c r="G2">
        <v>3500</v>
      </c>
      <c r="H2" s="1">
        <v>0.45</v>
      </c>
      <c r="I2" s="1">
        <v>0.25</v>
      </c>
      <c r="J2" s="1">
        <v>0.3</v>
      </c>
      <c r="K2" t="s">
        <v>24</v>
      </c>
      <c r="L2" t="s">
        <v>25</v>
      </c>
      <c r="M2" t="s">
        <v>26</v>
      </c>
      <c r="N2" t="s">
        <v>27</v>
      </c>
      <c r="O2" t="s">
        <v>28</v>
      </c>
      <c r="P2" t="s">
        <v>29</v>
      </c>
      <c r="Q2" t="s">
        <v>30</v>
      </c>
      <c r="R2">
        <v>500</v>
      </c>
      <c r="S2">
        <v>2</v>
      </c>
      <c r="T2">
        <v>1</v>
      </c>
      <c r="U2" t="s">
        <v>31</v>
      </c>
      <c r="V2">
        <v>7</v>
      </c>
    </row>
    <row r="3" spans="1:22" x14ac:dyDescent="0.3">
      <c r="A3" t="s">
        <v>32</v>
      </c>
      <c r="B3" t="s">
        <v>33</v>
      </c>
      <c r="C3">
        <v>1000</v>
      </c>
      <c r="D3">
        <v>3200</v>
      </c>
      <c r="E3">
        <v>172</v>
      </c>
      <c r="F3">
        <v>2000</v>
      </c>
      <c r="G3">
        <v>600</v>
      </c>
      <c r="H3" s="1">
        <v>0.5</v>
      </c>
      <c r="I3" s="1">
        <v>0.2</v>
      </c>
      <c r="J3" s="1">
        <v>0.3</v>
      </c>
      <c r="K3" t="s">
        <v>34</v>
      </c>
      <c r="L3" t="s">
        <v>35</v>
      </c>
      <c r="M3" t="s">
        <v>36</v>
      </c>
      <c r="N3" t="s">
        <v>37</v>
      </c>
      <c r="O3" t="s">
        <v>38</v>
      </c>
      <c r="P3" s="2">
        <v>50000</v>
      </c>
      <c r="Q3" t="s">
        <v>39</v>
      </c>
      <c r="R3">
        <v>100</v>
      </c>
      <c r="S3">
        <v>0</v>
      </c>
      <c r="T3">
        <v>0</v>
      </c>
      <c r="U3" t="s">
        <v>40</v>
      </c>
      <c r="V3">
        <v>7</v>
      </c>
    </row>
    <row r="4" spans="1:22" x14ac:dyDescent="0.3">
      <c r="A4" t="s">
        <v>41</v>
      </c>
      <c r="B4" t="s">
        <v>42</v>
      </c>
      <c r="C4">
        <v>750</v>
      </c>
      <c r="D4">
        <v>21000</v>
      </c>
      <c r="E4">
        <v>700</v>
      </c>
      <c r="F4">
        <v>15000</v>
      </c>
      <c r="G4">
        <v>1000</v>
      </c>
      <c r="H4" s="1">
        <v>0.55000000000000004</v>
      </c>
      <c r="I4" s="1">
        <v>0.2</v>
      </c>
      <c r="J4" s="1">
        <v>0.25</v>
      </c>
      <c r="K4" t="s">
        <v>43</v>
      </c>
      <c r="L4" t="s">
        <v>44</v>
      </c>
      <c r="M4" t="s">
        <v>45</v>
      </c>
      <c r="N4" t="s">
        <v>46</v>
      </c>
      <c r="O4" t="s">
        <v>47</v>
      </c>
      <c r="P4" t="s">
        <v>48</v>
      </c>
      <c r="Q4" t="s">
        <v>49</v>
      </c>
      <c r="R4">
        <v>200</v>
      </c>
      <c r="S4">
        <v>0</v>
      </c>
      <c r="T4">
        <v>0</v>
      </c>
      <c r="U4" t="s">
        <v>50</v>
      </c>
      <c r="V4">
        <v>8</v>
      </c>
    </row>
    <row r="5" spans="1:22" x14ac:dyDescent="0.3">
      <c r="A5" t="s">
        <v>51</v>
      </c>
      <c r="B5" t="s">
        <v>52</v>
      </c>
      <c r="C5">
        <v>500</v>
      </c>
      <c r="D5">
        <v>2000</v>
      </c>
      <c r="E5">
        <v>500</v>
      </c>
      <c r="F5">
        <v>10000</v>
      </c>
      <c r="G5">
        <v>300</v>
      </c>
      <c r="H5" s="1">
        <v>0.6</v>
      </c>
      <c r="I5" s="1">
        <v>0.2</v>
      </c>
      <c r="J5" s="1">
        <v>0.2</v>
      </c>
      <c r="K5" t="s">
        <v>53</v>
      </c>
      <c r="L5" t="s">
        <v>54</v>
      </c>
      <c r="M5" t="s">
        <v>37</v>
      </c>
      <c r="N5" t="s">
        <v>55</v>
      </c>
      <c r="O5" t="s">
        <v>56</v>
      </c>
      <c r="P5" t="s">
        <v>56</v>
      </c>
      <c r="Q5" t="s">
        <v>57</v>
      </c>
      <c r="R5">
        <v>50</v>
      </c>
      <c r="S5">
        <v>0</v>
      </c>
      <c r="T5">
        <v>0</v>
      </c>
      <c r="U5" t="s">
        <v>58</v>
      </c>
      <c r="V5">
        <v>6</v>
      </c>
    </row>
    <row r="6" spans="1:22" x14ac:dyDescent="0.3">
      <c r="A6" t="s">
        <v>59</v>
      </c>
      <c r="B6" t="s">
        <v>60</v>
      </c>
      <c r="C6">
        <v>3000</v>
      </c>
      <c r="D6">
        <v>5000</v>
      </c>
      <c r="E6">
        <v>1200</v>
      </c>
      <c r="F6">
        <v>2300</v>
      </c>
      <c r="G6">
        <v>2000</v>
      </c>
      <c r="H6" s="1">
        <v>0.4</v>
      </c>
      <c r="I6" s="1">
        <v>0.3</v>
      </c>
      <c r="J6" s="1">
        <v>0.3</v>
      </c>
      <c r="K6" t="s">
        <v>61</v>
      </c>
      <c r="L6" t="s">
        <v>45</v>
      </c>
      <c r="M6" t="s">
        <v>62</v>
      </c>
      <c r="N6" t="s">
        <v>37</v>
      </c>
      <c r="O6" t="s">
        <v>63</v>
      </c>
      <c r="P6" t="s">
        <v>64</v>
      </c>
      <c r="Q6" t="s">
        <v>57</v>
      </c>
      <c r="R6">
        <v>200</v>
      </c>
      <c r="S6">
        <v>0</v>
      </c>
      <c r="T6">
        <v>0</v>
      </c>
      <c r="U6" t="s">
        <v>65</v>
      </c>
      <c r="V6">
        <v>5</v>
      </c>
    </row>
    <row r="7" spans="1:22" x14ac:dyDescent="0.3">
      <c r="A7" t="s">
        <v>66</v>
      </c>
      <c r="B7" t="s">
        <v>67</v>
      </c>
      <c r="C7">
        <v>2521</v>
      </c>
      <c r="D7">
        <v>18500</v>
      </c>
      <c r="E7">
        <v>2521</v>
      </c>
      <c r="F7">
        <v>8528</v>
      </c>
      <c r="G7">
        <v>1000</v>
      </c>
      <c r="H7" s="1">
        <v>0.55000000000000004</v>
      </c>
      <c r="I7" s="1">
        <v>0.2</v>
      </c>
      <c r="J7" s="1">
        <v>0.25</v>
      </c>
      <c r="K7" t="s">
        <v>43</v>
      </c>
      <c r="L7" t="s">
        <v>68</v>
      </c>
      <c r="M7" t="s">
        <v>45</v>
      </c>
      <c r="N7" t="s">
        <v>62</v>
      </c>
      <c r="O7" t="s">
        <v>69</v>
      </c>
      <c r="P7" t="s">
        <v>70</v>
      </c>
      <c r="Q7" t="s">
        <v>49</v>
      </c>
      <c r="R7">
        <v>150</v>
      </c>
      <c r="S7">
        <v>0</v>
      </c>
      <c r="T7">
        <v>0</v>
      </c>
      <c r="U7" t="s">
        <v>71</v>
      </c>
      <c r="V7">
        <v>8</v>
      </c>
    </row>
    <row r="8" spans="1:22" x14ac:dyDescent="0.3">
      <c r="A8" t="s">
        <v>72</v>
      </c>
      <c r="B8" t="s">
        <v>73</v>
      </c>
      <c r="C8">
        <v>100000</v>
      </c>
      <c r="D8">
        <v>170000</v>
      </c>
      <c r="E8">
        <v>90000</v>
      </c>
      <c r="F8">
        <v>60000</v>
      </c>
      <c r="G8">
        <v>100000</v>
      </c>
      <c r="H8" s="1">
        <v>0.35</v>
      </c>
      <c r="I8" s="1">
        <v>0.3</v>
      </c>
      <c r="J8" s="1">
        <v>0.35</v>
      </c>
      <c r="K8" t="s">
        <v>68</v>
      </c>
      <c r="L8" t="s">
        <v>69</v>
      </c>
      <c r="M8" t="s">
        <v>74</v>
      </c>
      <c r="N8" t="s">
        <v>75</v>
      </c>
      <c r="O8" t="s">
        <v>76</v>
      </c>
      <c r="P8" t="s">
        <v>77</v>
      </c>
      <c r="Q8" t="s">
        <v>78</v>
      </c>
      <c r="R8">
        <v>30000</v>
      </c>
      <c r="S8">
        <v>30</v>
      </c>
      <c r="T8">
        <v>20</v>
      </c>
      <c r="U8" t="s">
        <v>79</v>
      </c>
      <c r="V8">
        <v>5</v>
      </c>
    </row>
    <row r="9" spans="1:22" x14ac:dyDescent="0.3">
      <c r="A9" t="s">
        <v>80</v>
      </c>
      <c r="B9" t="s">
        <v>81</v>
      </c>
      <c r="C9">
        <v>1100</v>
      </c>
      <c r="D9">
        <v>2000</v>
      </c>
      <c r="E9">
        <v>900</v>
      </c>
      <c r="F9">
        <v>50</v>
      </c>
      <c r="G9">
        <v>1000</v>
      </c>
      <c r="H9" s="1">
        <v>0.4</v>
      </c>
      <c r="I9" s="1">
        <v>0.3</v>
      </c>
      <c r="J9" s="1">
        <v>0.3</v>
      </c>
      <c r="K9" t="s">
        <v>82</v>
      </c>
      <c r="L9" t="s">
        <v>35</v>
      </c>
      <c r="M9" t="s">
        <v>37</v>
      </c>
      <c r="N9" t="s">
        <v>82</v>
      </c>
      <c r="O9" t="s">
        <v>83</v>
      </c>
      <c r="P9" s="2">
        <v>50000</v>
      </c>
      <c r="Q9" t="s">
        <v>39</v>
      </c>
      <c r="R9">
        <v>200</v>
      </c>
      <c r="S9">
        <v>0</v>
      </c>
      <c r="T9">
        <v>1</v>
      </c>
      <c r="U9" t="s">
        <v>84</v>
      </c>
      <c r="V9">
        <v>6</v>
      </c>
    </row>
    <row r="10" spans="1:22" x14ac:dyDescent="0.3">
      <c r="A10" t="s">
        <v>85</v>
      </c>
      <c r="B10" t="s">
        <v>86</v>
      </c>
      <c r="C10">
        <v>500000</v>
      </c>
      <c r="D10">
        <v>1000000</v>
      </c>
      <c r="E10">
        <v>300000</v>
      </c>
      <c r="F10">
        <v>500000</v>
      </c>
      <c r="G10">
        <v>100000</v>
      </c>
      <c r="H10" s="1">
        <v>0.5</v>
      </c>
      <c r="I10" s="1">
        <v>0.2</v>
      </c>
      <c r="J10" s="1">
        <v>0.3</v>
      </c>
      <c r="K10" t="s">
        <v>87</v>
      </c>
      <c r="L10" t="s">
        <v>88</v>
      </c>
      <c r="M10" t="s">
        <v>89</v>
      </c>
      <c r="N10" t="s">
        <v>64</v>
      </c>
      <c r="O10" t="s">
        <v>90</v>
      </c>
      <c r="P10" t="s">
        <v>91</v>
      </c>
      <c r="Q10" t="s">
        <v>92</v>
      </c>
      <c r="R10">
        <v>50000</v>
      </c>
      <c r="S10">
        <v>10</v>
      </c>
      <c r="T10">
        <v>5</v>
      </c>
      <c r="U10" t="s">
        <v>93</v>
      </c>
      <c r="V10">
        <v>5</v>
      </c>
    </row>
    <row r="11" spans="1:22" x14ac:dyDescent="0.3">
      <c r="A11" t="s">
        <v>94</v>
      </c>
      <c r="B11" t="s">
        <v>95</v>
      </c>
      <c r="C11">
        <v>6000</v>
      </c>
      <c r="D11">
        <v>18000</v>
      </c>
      <c r="E11">
        <v>368</v>
      </c>
      <c r="F11">
        <v>3000</v>
      </c>
      <c r="G11">
        <v>17500</v>
      </c>
      <c r="H11" s="1">
        <v>0.35</v>
      </c>
      <c r="I11" s="1">
        <v>0.3</v>
      </c>
      <c r="J11" s="1">
        <v>0.35</v>
      </c>
      <c r="K11" t="s">
        <v>96</v>
      </c>
      <c r="L11" t="s">
        <v>87</v>
      </c>
      <c r="M11" t="s">
        <v>97</v>
      </c>
      <c r="N11" t="s">
        <v>54</v>
      </c>
      <c r="O11" t="s">
        <v>98</v>
      </c>
      <c r="P11" t="s">
        <v>99</v>
      </c>
      <c r="Q11" t="s">
        <v>100</v>
      </c>
      <c r="R11">
        <v>5000</v>
      </c>
      <c r="S11">
        <v>20</v>
      </c>
      <c r="T11">
        <v>10</v>
      </c>
      <c r="U11" t="s">
        <v>101</v>
      </c>
      <c r="V11">
        <v>5</v>
      </c>
    </row>
    <row r="12" spans="1:22" x14ac:dyDescent="0.3">
      <c r="A12" t="s">
        <v>102</v>
      </c>
      <c r="B12" t="s">
        <v>103</v>
      </c>
      <c r="C12">
        <v>25000</v>
      </c>
      <c r="D12">
        <v>35000</v>
      </c>
      <c r="E12">
        <v>292</v>
      </c>
      <c r="F12">
        <v>25000</v>
      </c>
      <c r="G12">
        <v>3500</v>
      </c>
      <c r="H12" s="1">
        <v>0.45</v>
      </c>
      <c r="I12" s="1">
        <v>0.25</v>
      </c>
      <c r="J12" s="1">
        <v>0.3</v>
      </c>
      <c r="K12" t="s">
        <v>24</v>
      </c>
      <c r="L12" t="s">
        <v>104</v>
      </c>
      <c r="M12" t="s">
        <v>89</v>
      </c>
      <c r="N12" t="s">
        <v>105</v>
      </c>
      <c r="O12" t="s">
        <v>106</v>
      </c>
      <c r="P12" t="s">
        <v>107</v>
      </c>
      <c r="Q12" t="s">
        <v>108</v>
      </c>
      <c r="R12">
        <v>2000</v>
      </c>
      <c r="S12">
        <v>0</v>
      </c>
      <c r="T12">
        <v>2</v>
      </c>
      <c r="U12" t="s">
        <v>109</v>
      </c>
      <c r="V12">
        <v>9</v>
      </c>
    </row>
    <row r="13" spans="1:22" x14ac:dyDescent="0.3">
      <c r="A13" t="s">
        <v>110</v>
      </c>
      <c r="B13" t="s">
        <v>111</v>
      </c>
      <c r="C13">
        <v>1500</v>
      </c>
      <c r="D13">
        <v>3000</v>
      </c>
      <c r="E13">
        <v>20</v>
      </c>
      <c r="F13">
        <v>1480</v>
      </c>
      <c r="G13">
        <v>600</v>
      </c>
      <c r="H13" s="1">
        <v>0.55000000000000004</v>
      </c>
      <c r="I13" s="1">
        <v>0.2</v>
      </c>
      <c r="J13" s="1">
        <v>0.25</v>
      </c>
      <c r="K13" t="s">
        <v>112</v>
      </c>
      <c r="L13" t="s">
        <v>54</v>
      </c>
      <c r="M13" t="s">
        <v>56</v>
      </c>
      <c r="N13" t="s">
        <v>56</v>
      </c>
      <c r="O13" t="s">
        <v>56</v>
      </c>
      <c r="P13" t="s">
        <v>56</v>
      </c>
      <c r="Q13" t="s">
        <v>100</v>
      </c>
      <c r="R13">
        <v>200</v>
      </c>
      <c r="S13">
        <v>0</v>
      </c>
      <c r="T13">
        <v>0</v>
      </c>
      <c r="U13" t="s">
        <v>113</v>
      </c>
      <c r="V13">
        <v>6</v>
      </c>
    </row>
    <row r="14" spans="1:22" x14ac:dyDescent="0.3">
      <c r="A14" t="s">
        <v>114</v>
      </c>
      <c r="B14" t="s">
        <v>115</v>
      </c>
      <c r="C14">
        <v>1000</v>
      </c>
      <c r="D14">
        <v>2000</v>
      </c>
      <c r="E14">
        <v>160</v>
      </c>
      <c r="F14">
        <v>1000</v>
      </c>
      <c r="G14">
        <v>750</v>
      </c>
      <c r="H14" s="1">
        <v>0.4</v>
      </c>
      <c r="I14" s="1">
        <v>0.25</v>
      </c>
      <c r="J14" s="1">
        <v>0.35</v>
      </c>
      <c r="K14" t="s">
        <v>116</v>
      </c>
      <c r="L14" t="s">
        <v>89</v>
      </c>
      <c r="M14" t="s">
        <v>105</v>
      </c>
      <c r="N14" t="s">
        <v>37</v>
      </c>
      <c r="O14" t="s">
        <v>63</v>
      </c>
      <c r="P14" t="s">
        <v>64</v>
      </c>
      <c r="Q14" t="s">
        <v>100</v>
      </c>
      <c r="R14">
        <v>200</v>
      </c>
      <c r="S14">
        <v>2</v>
      </c>
      <c r="T14">
        <v>1</v>
      </c>
      <c r="U14" t="s">
        <v>117</v>
      </c>
      <c r="V14">
        <v>7</v>
      </c>
    </row>
    <row r="15" spans="1:22" x14ac:dyDescent="0.3">
      <c r="A15" t="s">
        <v>118</v>
      </c>
      <c r="B15" t="s">
        <v>119</v>
      </c>
      <c r="C15">
        <v>3000</v>
      </c>
      <c r="D15">
        <v>5000</v>
      </c>
      <c r="E15">
        <v>1100</v>
      </c>
      <c r="F15">
        <v>3000</v>
      </c>
      <c r="G15">
        <v>2000</v>
      </c>
      <c r="H15" s="1">
        <v>0.4</v>
      </c>
      <c r="I15" s="1">
        <v>0.25</v>
      </c>
      <c r="J15" s="1">
        <v>0.35</v>
      </c>
      <c r="K15" t="s">
        <v>120</v>
      </c>
      <c r="L15" t="s">
        <v>64</v>
      </c>
      <c r="M15" t="s">
        <v>54</v>
      </c>
      <c r="N15" t="s">
        <v>121</v>
      </c>
      <c r="O15" t="s">
        <v>122</v>
      </c>
      <c r="P15" t="s">
        <v>64</v>
      </c>
      <c r="Q15" t="s">
        <v>78</v>
      </c>
      <c r="R15">
        <v>500</v>
      </c>
      <c r="S15">
        <v>5</v>
      </c>
      <c r="T15">
        <v>2</v>
      </c>
      <c r="U15" t="s">
        <v>123</v>
      </c>
      <c r="V15">
        <v>8</v>
      </c>
    </row>
    <row r="16" spans="1:22" x14ac:dyDescent="0.3">
      <c r="A16" t="s">
        <v>124</v>
      </c>
      <c r="B16" t="s">
        <v>125</v>
      </c>
      <c r="C16">
        <v>150000</v>
      </c>
      <c r="D16">
        <v>300000</v>
      </c>
      <c r="E16">
        <v>4500</v>
      </c>
      <c r="F16">
        <v>30000</v>
      </c>
      <c r="G16">
        <v>200000</v>
      </c>
      <c r="H16" s="1">
        <v>0.35</v>
      </c>
      <c r="I16" s="1">
        <v>0.3</v>
      </c>
      <c r="J16" s="1">
        <v>0.35</v>
      </c>
      <c r="K16" t="s">
        <v>126</v>
      </c>
      <c r="L16" t="s">
        <v>63</v>
      </c>
      <c r="M16" t="s">
        <v>25</v>
      </c>
      <c r="N16" t="s">
        <v>97</v>
      </c>
      <c r="O16" t="s">
        <v>127</v>
      </c>
      <c r="P16" t="s">
        <v>128</v>
      </c>
      <c r="Q16" t="s">
        <v>129</v>
      </c>
      <c r="R16">
        <v>100000</v>
      </c>
      <c r="S16">
        <v>150</v>
      </c>
      <c r="T16">
        <v>80</v>
      </c>
      <c r="U16" t="s">
        <v>130</v>
      </c>
      <c r="V16">
        <v>8</v>
      </c>
    </row>
    <row r="17" spans="1:22" x14ac:dyDescent="0.3">
      <c r="A17" t="s">
        <v>131</v>
      </c>
      <c r="B17" t="s">
        <v>132</v>
      </c>
      <c r="C17">
        <v>10000</v>
      </c>
      <c r="D17">
        <v>20000</v>
      </c>
      <c r="E17">
        <v>4000</v>
      </c>
      <c r="F17">
        <v>10000</v>
      </c>
      <c r="G17">
        <v>25000</v>
      </c>
      <c r="H17" s="1">
        <v>0.35</v>
      </c>
      <c r="I17" s="1">
        <v>0.25</v>
      </c>
      <c r="J17" s="1">
        <v>0.4</v>
      </c>
      <c r="K17" t="s">
        <v>45</v>
      </c>
      <c r="L17" t="s">
        <v>89</v>
      </c>
      <c r="M17" t="s">
        <v>54</v>
      </c>
      <c r="N17" t="s">
        <v>105</v>
      </c>
      <c r="O17" t="s">
        <v>128</v>
      </c>
      <c r="P17" t="s">
        <v>77</v>
      </c>
      <c r="Q17" t="s">
        <v>108</v>
      </c>
      <c r="R17">
        <v>20000</v>
      </c>
      <c r="S17">
        <v>30</v>
      </c>
      <c r="T17">
        <v>10</v>
      </c>
      <c r="U17" t="s">
        <v>133</v>
      </c>
      <c r="V17">
        <v>7</v>
      </c>
    </row>
    <row r="18" spans="1:22" x14ac:dyDescent="0.3">
      <c r="A18" t="s">
        <v>134</v>
      </c>
      <c r="B18" t="s">
        <v>135</v>
      </c>
      <c r="C18">
        <v>1365</v>
      </c>
      <c r="D18">
        <v>1500</v>
      </c>
      <c r="E18">
        <v>121</v>
      </c>
      <c r="F18">
        <v>1200</v>
      </c>
      <c r="G18">
        <v>1200</v>
      </c>
      <c r="H18" s="1">
        <v>0.35</v>
      </c>
      <c r="I18" s="1">
        <v>0.3</v>
      </c>
      <c r="J18" s="1">
        <v>0.35</v>
      </c>
      <c r="K18" t="s">
        <v>136</v>
      </c>
      <c r="L18" t="s">
        <v>137</v>
      </c>
      <c r="M18" t="s">
        <v>55</v>
      </c>
      <c r="N18" t="s">
        <v>138</v>
      </c>
      <c r="O18" t="s">
        <v>76</v>
      </c>
      <c r="P18" t="s">
        <v>63</v>
      </c>
      <c r="Q18" t="s">
        <v>139</v>
      </c>
      <c r="R18">
        <v>300</v>
      </c>
      <c r="S18">
        <v>1</v>
      </c>
      <c r="T18">
        <v>2</v>
      </c>
      <c r="U18" t="s">
        <v>140</v>
      </c>
      <c r="V18">
        <v>8</v>
      </c>
    </row>
    <row r="19" spans="1:22" x14ac:dyDescent="0.3">
      <c r="A19" t="s">
        <v>141</v>
      </c>
      <c r="B19" t="s">
        <v>142</v>
      </c>
      <c r="C19">
        <v>1390</v>
      </c>
      <c r="D19">
        <v>1440</v>
      </c>
      <c r="E19">
        <v>13</v>
      </c>
      <c r="F19">
        <v>1167</v>
      </c>
      <c r="G19">
        <v>350</v>
      </c>
      <c r="H19" s="1">
        <v>0.3</v>
      </c>
      <c r="I19" s="1">
        <v>0.3</v>
      </c>
      <c r="J19" s="1">
        <v>0.4</v>
      </c>
      <c r="K19" t="s">
        <v>143</v>
      </c>
      <c r="L19" t="s">
        <v>144</v>
      </c>
      <c r="M19" t="s">
        <v>145</v>
      </c>
      <c r="N19" t="s">
        <v>55</v>
      </c>
      <c r="O19" t="s">
        <v>83</v>
      </c>
      <c r="P19" t="s">
        <v>56</v>
      </c>
      <c r="Q19" t="s">
        <v>139</v>
      </c>
      <c r="R19">
        <v>200</v>
      </c>
      <c r="S19">
        <v>0</v>
      </c>
      <c r="T19">
        <v>1</v>
      </c>
      <c r="U19" t="s">
        <v>146</v>
      </c>
      <c r="V19">
        <v>8</v>
      </c>
    </row>
    <row r="20" spans="1:22" x14ac:dyDescent="0.3">
      <c r="A20" t="s">
        <v>147</v>
      </c>
      <c r="B20" t="s">
        <v>148</v>
      </c>
      <c r="C20">
        <v>170</v>
      </c>
      <c r="D20">
        <v>180</v>
      </c>
      <c r="E20">
        <v>6</v>
      </c>
      <c r="F20">
        <v>155</v>
      </c>
      <c r="G20">
        <v>15</v>
      </c>
      <c r="H20" s="1">
        <v>0.3</v>
      </c>
      <c r="I20" s="1">
        <v>0.3</v>
      </c>
      <c r="J20" s="1">
        <v>0.4</v>
      </c>
      <c r="K20" t="s">
        <v>53</v>
      </c>
      <c r="L20" t="s">
        <v>27</v>
      </c>
      <c r="M20" t="s">
        <v>56</v>
      </c>
      <c r="N20" t="s">
        <v>56</v>
      </c>
      <c r="O20" t="s">
        <v>63</v>
      </c>
      <c r="P20" t="s">
        <v>56</v>
      </c>
      <c r="Q20" t="s">
        <v>139</v>
      </c>
      <c r="R20">
        <v>30</v>
      </c>
      <c r="S20">
        <v>0</v>
      </c>
      <c r="T20">
        <v>0</v>
      </c>
      <c r="U20" t="s">
        <v>149</v>
      </c>
      <c r="V20">
        <v>8</v>
      </c>
    </row>
    <row r="21" spans="1:22" x14ac:dyDescent="0.3">
      <c r="A21" t="s">
        <v>150</v>
      </c>
      <c r="B21" t="s">
        <v>151</v>
      </c>
      <c r="C21">
        <v>2100</v>
      </c>
      <c r="D21">
        <v>2200</v>
      </c>
      <c r="E21">
        <v>67</v>
      </c>
      <c r="F21">
        <v>2023</v>
      </c>
      <c r="G21">
        <v>1500</v>
      </c>
      <c r="H21" s="1">
        <v>0.3</v>
      </c>
      <c r="I21" s="1">
        <v>0.27</v>
      </c>
      <c r="J21" s="1">
        <v>0.43</v>
      </c>
      <c r="K21" t="s">
        <v>152</v>
      </c>
      <c r="L21" t="s">
        <v>153</v>
      </c>
      <c r="M21" t="s">
        <v>82</v>
      </c>
      <c r="N21" t="s">
        <v>82</v>
      </c>
      <c r="O21" t="s">
        <v>77</v>
      </c>
      <c r="P21" t="s">
        <v>56</v>
      </c>
      <c r="Q21" t="s">
        <v>100</v>
      </c>
      <c r="R21">
        <v>500</v>
      </c>
      <c r="S21">
        <v>2</v>
      </c>
      <c r="T21">
        <v>1</v>
      </c>
      <c r="U21" t="s">
        <v>154</v>
      </c>
      <c r="V21">
        <v>8</v>
      </c>
    </row>
    <row r="22" spans="1:22" x14ac:dyDescent="0.3">
      <c r="A22" t="s">
        <v>155</v>
      </c>
      <c r="B22" t="s">
        <v>156</v>
      </c>
      <c r="C22">
        <v>350000</v>
      </c>
      <c r="D22">
        <v>500000</v>
      </c>
      <c r="E22">
        <v>150000</v>
      </c>
      <c r="F22">
        <v>200000</v>
      </c>
      <c r="G22">
        <v>250000</v>
      </c>
      <c r="H22" s="1">
        <v>0.35</v>
      </c>
      <c r="I22" s="1">
        <v>0.28000000000000003</v>
      </c>
      <c r="J22" s="1">
        <v>0.37</v>
      </c>
      <c r="K22" t="s">
        <v>157</v>
      </c>
      <c r="L22" t="s">
        <v>76</v>
      </c>
      <c r="M22" t="s">
        <v>63</v>
      </c>
      <c r="N22" t="s">
        <v>122</v>
      </c>
      <c r="O22" t="s">
        <v>158</v>
      </c>
      <c r="P22" t="s">
        <v>159</v>
      </c>
      <c r="Q22" t="s">
        <v>160</v>
      </c>
      <c r="R22">
        <v>150000</v>
      </c>
      <c r="S22">
        <v>600</v>
      </c>
      <c r="T22">
        <v>100</v>
      </c>
      <c r="U22" t="s">
        <v>161</v>
      </c>
      <c r="V22">
        <v>7</v>
      </c>
    </row>
    <row r="23" spans="1:22" x14ac:dyDescent="0.3">
      <c r="A23" t="s">
        <v>162</v>
      </c>
      <c r="B23" t="s">
        <v>163</v>
      </c>
      <c r="C23">
        <v>30000</v>
      </c>
      <c r="D23">
        <v>55000</v>
      </c>
      <c r="E23">
        <v>1500</v>
      </c>
      <c r="F23">
        <v>50000</v>
      </c>
      <c r="G23">
        <v>11000</v>
      </c>
      <c r="H23" s="1">
        <v>0.35</v>
      </c>
      <c r="I23" s="1">
        <v>0.25</v>
      </c>
      <c r="J23" s="1">
        <v>0.4</v>
      </c>
      <c r="K23" t="s">
        <v>137</v>
      </c>
      <c r="L23" t="s">
        <v>164</v>
      </c>
      <c r="M23" t="s">
        <v>165</v>
      </c>
      <c r="N23" t="s">
        <v>105</v>
      </c>
      <c r="O23" t="s">
        <v>166</v>
      </c>
      <c r="P23" t="s">
        <v>167</v>
      </c>
      <c r="Q23" t="s">
        <v>129</v>
      </c>
      <c r="R23">
        <v>20000</v>
      </c>
      <c r="S23">
        <v>50</v>
      </c>
      <c r="T23">
        <v>30</v>
      </c>
      <c r="U23" t="s">
        <v>168</v>
      </c>
      <c r="V23">
        <v>8</v>
      </c>
    </row>
    <row r="24" spans="1:22" x14ac:dyDescent="0.3">
      <c r="A24" t="s">
        <v>169</v>
      </c>
      <c r="B24" t="s">
        <v>170</v>
      </c>
      <c r="C24">
        <v>150000</v>
      </c>
      <c r="D24">
        <v>377000</v>
      </c>
      <c r="E24">
        <v>80000</v>
      </c>
      <c r="F24">
        <v>70000</v>
      </c>
      <c r="G24">
        <v>100000</v>
      </c>
      <c r="H24" s="1">
        <v>0.4</v>
      </c>
      <c r="I24" s="1">
        <v>0.28000000000000003</v>
      </c>
      <c r="J24" s="1">
        <v>0.32</v>
      </c>
      <c r="K24" t="s">
        <v>171</v>
      </c>
      <c r="L24" t="s">
        <v>99</v>
      </c>
      <c r="M24" t="s">
        <v>25</v>
      </c>
      <c r="N24" t="s">
        <v>87</v>
      </c>
      <c r="O24" t="s">
        <v>127</v>
      </c>
      <c r="P24" t="s">
        <v>122</v>
      </c>
      <c r="Q24" t="s">
        <v>172</v>
      </c>
      <c r="R24">
        <v>200000</v>
      </c>
      <c r="S24">
        <v>30</v>
      </c>
      <c r="T24">
        <v>25</v>
      </c>
      <c r="U24" t="s">
        <v>173</v>
      </c>
      <c r="V24">
        <v>6</v>
      </c>
    </row>
    <row r="25" spans="1:22" x14ac:dyDescent="0.3">
      <c r="A25" t="s">
        <v>174</v>
      </c>
      <c r="B25" t="s">
        <v>175</v>
      </c>
      <c r="C25">
        <v>70000</v>
      </c>
      <c r="D25">
        <v>80000</v>
      </c>
      <c r="E25">
        <v>2039</v>
      </c>
      <c r="F25">
        <v>13000</v>
      </c>
      <c r="G25">
        <v>58000</v>
      </c>
      <c r="H25" s="1">
        <v>0.2</v>
      </c>
      <c r="I25" s="1">
        <v>0.3</v>
      </c>
      <c r="J25" s="1">
        <v>0.5</v>
      </c>
      <c r="K25" t="s">
        <v>176</v>
      </c>
      <c r="L25" t="s">
        <v>63</v>
      </c>
      <c r="M25" t="s">
        <v>177</v>
      </c>
      <c r="N25" t="s">
        <v>45</v>
      </c>
      <c r="O25" t="s">
        <v>128</v>
      </c>
      <c r="P25" t="s">
        <v>63</v>
      </c>
      <c r="Q25" t="s">
        <v>178</v>
      </c>
      <c r="R25">
        <v>20000</v>
      </c>
      <c r="S25">
        <v>248</v>
      </c>
      <c r="T25">
        <v>224</v>
      </c>
      <c r="U25" t="s">
        <v>179</v>
      </c>
      <c r="V25">
        <v>8</v>
      </c>
    </row>
    <row r="26" spans="1:22" x14ac:dyDescent="0.3">
      <c r="A26" t="s">
        <v>180</v>
      </c>
      <c r="B26" t="s">
        <v>181</v>
      </c>
      <c r="C26">
        <v>4300</v>
      </c>
      <c r="D26">
        <v>7000</v>
      </c>
      <c r="E26">
        <v>300</v>
      </c>
      <c r="F26">
        <v>4000</v>
      </c>
      <c r="G26">
        <v>3000</v>
      </c>
      <c r="H26" s="1">
        <v>0.35</v>
      </c>
      <c r="I26" s="1">
        <v>0.3</v>
      </c>
      <c r="J26" s="1">
        <v>0.35</v>
      </c>
      <c r="K26" t="s">
        <v>24</v>
      </c>
      <c r="L26" t="s">
        <v>74</v>
      </c>
      <c r="M26" t="s">
        <v>55</v>
      </c>
      <c r="N26" t="s">
        <v>37</v>
      </c>
      <c r="O26" t="s">
        <v>182</v>
      </c>
      <c r="P26" t="s">
        <v>63</v>
      </c>
      <c r="Q26" t="s">
        <v>100</v>
      </c>
      <c r="R26">
        <v>500</v>
      </c>
      <c r="S26">
        <v>5</v>
      </c>
      <c r="T26">
        <v>3</v>
      </c>
      <c r="U26" t="s">
        <v>183</v>
      </c>
      <c r="V26">
        <v>7</v>
      </c>
    </row>
    <row r="27" spans="1:22" x14ac:dyDescent="0.3">
      <c r="A27" t="s">
        <v>184</v>
      </c>
      <c r="B27" t="s">
        <v>185</v>
      </c>
      <c r="C27">
        <v>2000</v>
      </c>
      <c r="D27">
        <v>3000</v>
      </c>
      <c r="E27">
        <v>1500</v>
      </c>
      <c r="F27">
        <v>50</v>
      </c>
      <c r="G27">
        <v>2000</v>
      </c>
      <c r="H27" s="1">
        <v>0.4</v>
      </c>
      <c r="I27" s="1">
        <v>0.3</v>
      </c>
      <c r="J27" s="1">
        <v>0.3</v>
      </c>
      <c r="K27" t="s">
        <v>61</v>
      </c>
      <c r="L27" t="s">
        <v>97</v>
      </c>
      <c r="M27" t="s">
        <v>186</v>
      </c>
      <c r="N27" t="s">
        <v>145</v>
      </c>
      <c r="O27" t="s">
        <v>77</v>
      </c>
      <c r="P27" t="s">
        <v>56</v>
      </c>
      <c r="Q27" t="s">
        <v>187</v>
      </c>
      <c r="R27">
        <v>200</v>
      </c>
      <c r="S27">
        <v>2</v>
      </c>
      <c r="T27">
        <v>1</v>
      </c>
      <c r="U27" t="s">
        <v>188</v>
      </c>
      <c r="V27">
        <v>7</v>
      </c>
    </row>
    <row r="28" spans="1:22" x14ac:dyDescent="0.3">
      <c r="A28" t="s">
        <v>189</v>
      </c>
      <c r="B28" t="s">
        <v>190</v>
      </c>
      <c r="C28">
        <v>1270</v>
      </c>
      <c r="D28">
        <v>2000</v>
      </c>
      <c r="E28">
        <v>8</v>
      </c>
      <c r="F28">
        <v>900</v>
      </c>
      <c r="G28">
        <v>1300</v>
      </c>
      <c r="H28" s="1">
        <v>0.38</v>
      </c>
      <c r="I28" s="1">
        <v>0.32</v>
      </c>
      <c r="J28" s="1">
        <v>0.3</v>
      </c>
      <c r="K28" t="s">
        <v>191</v>
      </c>
      <c r="L28" t="s">
        <v>105</v>
      </c>
      <c r="M28" t="s">
        <v>56</v>
      </c>
      <c r="N28" t="s">
        <v>56</v>
      </c>
      <c r="O28" t="s">
        <v>76</v>
      </c>
      <c r="P28" t="s">
        <v>56</v>
      </c>
      <c r="Q28" t="s">
        <v>92</v>
      </c>
      <c r="R28">
        <v>100</v>
      </c>
      <c r="S28">
        <v>5</v>
      </c>
      <c r="T28">
        <v>3</v>
      </c>
      <c r="U28" t="s">
        <v>192</v>
      </c>
      <c r="V28">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098C-D72A-4DF4-A614-ED9AB949E668}">
  <dimension ref="A1:W28"/>
  <sheetViews>
    <sheetView topLeftCell="M1" zoomScale="99" zoomScaleNormal="81" workbookViewId="0">
      <selection activeCell="AD15" sqref="AD15"/>
    </sheetView>
  </sheetViews>
  <sheetFormatPr defaultRowHeight="14.4" x14ac:dyDescent="0.3"/>
  <cols>
    <col min="1" max="1" width="11.6640625" customWidth="1"/>
    <col min="2" max="2" width="14.88671875" customWidth="1"/>
    <col min="3" max="3" width="19.44140625" customWidth="1"/>
    <col min="4" max="5" width="20.109375" customWidth="1"/>
    <col min="6" max="6" width="21.109375" customWidth="1"/>
    <col min="7" max="7" width="17.5546875" customWidth="1"/>
    <col min="8" max="8" width="13.6640625" customWidth="1"/>
    <col min="9" max="9" width="16.21875" customWidth="1"/>
    <col min="10" max="12" width="16.6640625" customWidth="1"/>
    <col min="13" max="13" width="20.33203125" customWidth="1"/>
    <col min="14" max="14" width="19.21875" customWidth="1"/>
    <col min="15" max="15" width="13.109375" customWidth="1"/>
    <col min="16" max="16" width="16.6640625" customWidth="1"/>
    <col min="17" max="17" width="18.33203125" customWidth="1"/>
    <col min="18" max="18" width="17.109375" customWidth="1"/>
    <col min="19" max="19" width="19.109375" customWidth="1"/>
    <col min="20" max="20" width="29.88671875" customWidth="1"/>
    <col min="21" max="21" width="17" customWidth="1"/>
    <col min="22" max="22" width="18.5546875" customWidth="1"/>
    <col min="23" max="23" width="13.21875" customWidth="1"/>
    <col min="24" max="24" width="16" customWidth="1"/>
  </cols>
  <sheetData>
    <row r="1" spans="1:23" x14ac:dyDescent="0.3">
      <c r="A1" t="s">
        <v>0</v>
      </c>
      <c r="B1" t="s">
        <v>1</v>
      </c>
      <c r="C1" t="s">
        <v>2</v>
      </c>
      <c r="D1" t="s">
        <v>3</v>
      </c>
      <c r="E1" t="s">
        <v>193</v>
      </c>
      <c r="F1" t="s">
        <v>6</v>
      </c>
      <c r="G1" t="s">
        <v>7</v>
      </c>
      <c r="H1" t="s">
        <v>8</v>
      </c>
      <c r="I1" t="s">
        <v>9</v>
      </c>
      <c r="J1" t="s">
        <v>195</v>
      </c>
      <c r="K1" t="s">
        <v>196</v>
      </c>
      <c r="L1" t="s">
        <v>194</v>
      </c>
      <c r="M1" t="s">
        <v>11</v>
      </c>
      <c r="N1" t="s">
        <v>12</v>
      </c>
      <c r="O1" t="s">
        <v>13</v>
      </c>
      <c r="P1" t="s">
        <v>14</v>
      </c>
      <c r="Q1" t="s">
        <v>15</v>
      </c>
      <c r="R1" t="s">
        <v>16</v>
      </c>
      <c r="S1" t="s">
        <v>17</v>
      </c>
      <c r="T1" t="s">
        <v>18</v>
      </c>
      <c r="U1" t="s">
        <v>19</v>
      </c>
      <c r="V1" t="s">
        <v>20</v>
      </c>
      <c r="W1" t="s">
        <v>21</v>
      </c>
    </row>
    <row r="2" spans="1:23" x14ac:dyDescent="0.3">
      <c r="A2" t="s">
        <v>22</v>
      </c>
      <c r="B2" t="s">
        <v>23</v>
      </c>
      <c r="C2">
        <v>6000</v>
      </c>
      <c r="D2">
        <v>15000</v>
      </c>
      <c r="E2">
        <f>(ConflictData[[#This Row],[total_dead_est_low]]+ConflictData[[#This Row],[total_dead_est_high]])/2</f>
        <v>10500</v>
      </c>
      <c r="F2">
        <v>3500</v>
      </c>
      <c r="G2" s="1">
        <v>0.45</v>
      </c>
      <c r="H2" s="1">
        <v>0.25</v>
      </c>
      <c r="I2" s="1">
        <v>0.3</v>
      </c>
      <c r="J2">
        <f>ConflictData[[#This Row],[civilian_killed_est]]*ConflictData[[#This Row],[civ_men_pct]]</f>
        <v>1575</v>
      </c>
      <c r="K2">
        <f>ConflictData[[#This Row],[civilian_killed_est]]*ConflictData[[#This Row],[civ_women_pct]]</f>
        <v>875</v>
      </c>
      <c r="L2">
        <v>1050</v>
      </c>
      <c r="M2">
        <v>20000</v>
      </c>
      <c r="N2">
        <v>7000</v>
      </c>
      <c r="O2">
        <v>1200</v>
      </c>
      <c r="P2">
        <v>750000</v>
      </c>
      <c r="Q2">
        <v>700000</v>
      </c>
      <c r="R2">
        <v>4000000</v>
      </c>
      <c r="S2">
        <v>500</v>
      </c>
      <c r="T2">
        <v>2</v>
      </c>
      <c r="U2">
        <v>1</v>
      </c>
      <c r="V2" t="s">
        <v>31</v>
      </c>
      <c r="W2">
        <v>7</v>
      </c>
    </row>
    <row r="3" spans="1:23" x14ac:dyDescent="0.3">
      <c r="A3" t="s">
        <v>32</v>
      </c>
      <c r="B3" t="s">
        <v>33</v>
      </c>
      <c r="C3">
        <v>1000</v>
      </c>
      <c r="D3">
        <v>3200</v>
      </c>
      <c r="E3">
        <f>(ConflictData[[#This Row],[total_dead_est_low]]+ConflictData[[#This Row],[total_dead_est_high]])/2</f>
        <v>2100</v>
      </c>
      <c r="F3">
        <v>600</v>
      </c>
      <c r="G3" s="1">
        <v>0.5</v>
      </c>
      <c r="H3" s="1">
        <v>0.2</v>
      </c>
      <c r="I3" s="1">
        <v>0.3</v>
      </c>
      <c r="J3">
        <f>ConflictData[[#This Row],[civilian_killed_est]]*ConflictData[[#This Row],[civ_men_pct]]</f>
        <v>300</v>
      </c>
      <c r="K3">
        <f>ConflictData[[#This Row],[civilian_killed_est]]*ConflictData[[#This Row],[civ_women_pct]]</f>
        <v>120</v>
      </c>
      <c r="L3">
        <v>180</v>
      </c>
      <c r="M3">
        <v>4000</v>
      </c>
      <c r="N3">
        <v>6000</v>
      </c>
      <c r="O3">
        <v>500</v>
      </c>
      <c r="P3">
        <v>230000</v>
      </c>
      <c r="Q3">
        <v>50000</v>
      </c>
      <c r="R3">
        <v>500000</v>
      </c>
      <c r="S3">
        <v>100</v>
      </c>
      <c r="T3">
        <v>0</v>
      </c>
      <c r="U3">
        <v>0</v>
      </c>
      <c r="V3" t="s">
        <v>40</v>
      </c>
      <c r="W3">
        <v>7</v>
      </c>
    </row>
    <row r="4" spans="1:23" x14ac:dyDescent="0.3">
      <c r="A4" t="s">
        <v>41</v>
      </c>
      <c r="B4" t="s">
        <v>42</v>
      </c>
      <c r="C4">
        <v>750</v>
      </c>
      <c r="D4">
        <v>21000</v>
      </c>
      <c r="E4">
        <f>(ConflictData[[#This Row],[total_dead_est_low]]+ConflictData[[#This Row],[total_dead_est_high]])/2</f>
        <v>10875</v>
      </c>
      <c r="F4">
        <v>1000</v>
      </c>
      <c r="G4" s="1">
        <v>0.55000000000000004</v>
      </c>
      <c r="H4" s="1">
        <v>0.2</v>
      </c>
      <c r="I4" s="1">
        <v>0.25</v>
      </c>
      <c r="J4">
        <f>ConflictData[[#This Row],[civilian_killed_est]]*ConflictData[[#This Row],[civ_men_pct]]</f>
        <v>550</v>
      </c>
      <c r="K4">
        <f>ConflictData[[#This Row],[civilian_killed_est]]*ConflictData[[#This Row],[civ_women_pct]]</f>
        <v>200</v>
      </c>
      <c r="L4">
        <v>250</v>
      </c>
      <c r="M4">
        <v>45000</v>
      </c>
      <c r="N4">
        <v>10000</v>
      </c>
      <c r="O4">
        <v>1000</v>
      </c>
      <c r="P4">
        <v>350000</v>
      </c>
      <c r="Q4">
        <v>300000</v>
      </c>
      <c r="R4">
        <v>1000000</v>
      </c>
      <c r="S4">
        <v>200</v>
      </c>
      <c r="T4">
        <v>0</v>
      </c>
      <c r="U4">
        <v>0</v>
      </c>
      <c r="V4" t="s">
        <v>50</v>
      </c>
      <c r="W4">
        <v>8</v>
      </c>
    </row>
    <row r="5" spans="1:23" x14ac:dyDescent="0.3">
      <c r="A5" t="s">
        <v>51</v>
      </c>
      <c r="B5" t="s">
        <v>52</v>
      </c>
      <c r="C5">
        <v>500</v>
      </c>
      <c r="D5">
        <v>2000</v>
      </c>
      <c r="E5">
        <f>(ConflictData[[#This Row],[total_dead_est_low]]+ConflictData[[#This Row],[total_dead_est_high]])/2</f>
        <v>1250</v>
      </c>
      <c r="F5">
        <v>300</v>
      </c>
      <c r="G5" s="1">
        <v>0.6</v>
      </c>
      <c r="H5" s="1">
        <v>0.2</v>
      </c>
      <c r="I5" s="1">
        <v>0.2</v>
      </c>
      <c r="J5">
        <f>ConflictData[[#This Row],[civilian_killed_est]]*ConflictData[[#This Row],[civ_men_pct]]</f>
        <v>180</v>
      </c>
      <c r="K5">
        <f>ConflictData[[#This Row],[civilian_killed_est]]*ConflictData[[#This Row],[civ_women_pct]]</f>
        <v>60</v>
      </c>
      <c r="L5">
        <v>60</v>
      </c>
      <c r="M5">
        <v>3000</v>
      </c>
      <c r="N5">
        <v>500</v>
      </c>
      <c r="O5">
        <v>200</v>
      </c>
      <c r="R5">
        <v>300000</v>
      </c>
      <c r="S5">
        <v>50</v>
      </c>
      <c r="T5">
        <v>0</v>
      </c>
      <c r="U5">
        <v>0</v>
      </c>
      <c r="V5" t="s">
        <v>58</v>
      </c>
      <c r="W5">
        <v>6</v>
      </c>
    </row>
    <row r="6" spans="1:23" x14ac:dyDescent="0.3">
      <c r="A6" t="s">
        <v>59</v>
      </c>
      <c r="B6" t="s">
        <v>60</v>
      </c>
      <c r="C6">
        <v>3000</v>
      </c>
      <c r="D6">
        <v>5000</v>
      </c>
      <c r="E6">
        <f>(ConflictData[[#This Row],[total_dead_est_low]]+ConflictData[[#This Row],[total_dead_est_high]])/2</f>
        <v>4000</v>
      </c>
      <c r="F6">
        <v>2000</v>
      </c>
      <c r="G6" s="1">
        <v>0.4</v>
      </c>
      <c r="H6" s="1">
        <v>0.3</v>
      </c>
      <c r="I6" s="1">
        <v>0.3</v>
      </c>
      <c r="J6">
        <f>ConflictData[[#This Row],[civilian_killed_est]]*ConflictData[[#This Row],[civ_men_pct]]</f>
        <v>800</v>
      </c>
      <c r="K6">
        <f>ConflictData[[#This Row],[civilian_killed_est]]*ConflictData[[#This Row],[civ_women_pct]]</f>
        <v>600</v>
      </c>
      <c r="L6">
        <v>600</v>
      </c>
      <c r="M6">
        <v>10000</v>
      </c>
      <c r="N6">
        <v>2000</v>
      </c>
      <c r="O6">
        <v>500</v>
      </c>
      <c r="P6">
        <v>100000</v>
      </c>
      <c r="Q6">
        <v>50000</v>
      </c>
      <c r="R6">
        <v>300000</v>
      </c>
      <c r="S6">
        <v>200</v>
      </c>
      <c r="T6">
        <v>0</v>
      </c>
      <c r="U6">
        <v>0</v>
      </c>
      <c r="V6" t="s">
        <v>65</v>
      </c>
      <c r="W6">
        <v>5</v>
      </c>
    </row>
    <row r="7" spans="1:23" x14ac:dyDescent="0.3">
      <c r="A7" t="s">
        <v>66</v>
      </c>
      <c r="B7" t="s">
        <v>67</v>
      </c>
      <c r="C7">
        <v>2521</v>
      </c>
      <c r="D7">
        <v>18500</v>
      </c>
      <c r="E7">
        <f>(ConflictData[[#This Row],[total_dead_est_low]]+ConflictData[[#This Row],[total_dead_est_high]])/2</f>
        <v>10510.5</v>
      </c>
      <c r="F7">
        <v>1000</v>
      </c>
      <c r="G7" s="1">
        <v>0.55000000000000004</v>
      </c>
      <c r="H7" s="1">
        <v>0.2</v>
      </c>
      <c r="I7" s="1">
        <v>0.25</v>
      </c>
      <c r="J7">
        <f>ConflictData[[#This Row],[civilian_killed_est]]*ConflictData[[#This Row],[civ_men_pct]]</f>
        <v>550</v>
      </c>
      <c r="K7">
        <f>ConflictData[[#This Row],[civilian_killed_est]]*ConflictData[[#This Row],[civ_women_pct]]</f>
        <v>200</v>
      </c>
      <c r="L7">
        <v>250</v>
      </c>
      <c r="M7">
        <v>35000</v>
      </c>
      <c r="N7">
        <v>10000</v>
      </c>
      <c r="O7">
        <v>2000</v>
      </c>
      <c r="P7">
        <v>300000</v>
      </c>
      <c r="Q7">
        <v>100000</v>
      </c>
      <c r="R7">
        <v>1000000</v>
      </c>
      <c r="S7">
        <v>150</v>
      </c>
      <c r="T7">
        <v>0</v>
      </c>
      <c r="U7">
        <v>0</v>
      </c>
      <c r="V7" t="s">
        <v>71</v>
      </c>
      <c r="W7">
        <v>8</v>
      </c>
    </row>
    <row r="8" spans="1:23" x14ac:dyDescent="0.3">
      <c r="A8" t="s">
        <v>72</v>
      </c>
      <c r="B8" t="s">
        <v>73</v>
      </c>
      <c r="C8">
        <v>100000</v>
      </c>
      <c r="D8">
        <v>170000</v>
      </c>
      <c r="E8">
        <f>(ConflictData[[#This Row],[total_dead_est_low]]+ConflictData[[#This Row],[total_dead_est_high]])/2</f>
        <v>135000</v>
      </c>
      <c r="F8">
        <v>100000</v>
      </c>
      <c r="G8" s="1">
        <v>0.35</v>
      </c>
      <c r="H8" s="1">
        <v>0.3</v>
      </c>
      <c r="I8" s="1">
        <v>0.35</v>
      </c>
      <c r="J8">
        <f>ConflictData[[#This Row],[civilian_killed_est]]*ConflictData[[#This Row],[civ_men_pct]]</f>
        <v>35000</v>
      </c>
      <c r="K8">
        <f>ConflictData[[#This Row],[civilian_killed_est]]*ConflictData[[#This Row],[civ_women_pct]]</f>
        <v>30000</v>
      </c>
      <c r="L8">
        <v>35000</v>
      </c>
      <c r="M8">
        <v>300000</v>
      </c>
      <c r="N8">
        <v>15000</v>
      </c>
      <c r="O8">
        <v>17000</v>
      </c>
      <c r="P8">
        <v>1000000</v>
      </c>
      <c r="Q8">
        <v>500000</v>
      </c>
      <c r="R8">
        <v>3000000</v>
      </c>
      <c r="S8">
        <v>30000</v>
      </c>
      <c r="T8">
        <v>30</v>
      </c>
      <c r="U8">
        <v>20</v>
      </c>
      <c r="V8" t="s">
        <v>79</v>
      </c>
      <c r="W8">
        <v>5</v>
      </c>
    </row>
    <row r="9" spans="1:23" x14ac:dyDescent="0.3">
      <c r="A9" t="s">
        <v>80</v>
      </c>
      <c r="B9" t="s">
        <v>81</v>
      </c>
      <c r="C9">
        <v>1100</v>
      </c>
      <c r="D9">
        <v>2000</v>
      </c>
      <c r="E9">
        <f>(ConflictData[[#This Row],[total_dead_est_low]]+ConflictData[[#This Row],[total_dead_est_high]])/2</f>
        <v>1550</v>
      </c>
      <c r="F9">
        <v>1000</v>
      </c>
      <c r="G9" s="1">
        <v>0.4</v>
      </c>
      <c r="H9" s="1">
        <v>0.3</v>
      </c>
      <c r="I9" s="1">
        <v>0.3</v>
      </c>
      <c r="J9">
        <f>ConflictData[[#This Row],[civilian_killed_est]]*ConflictData[[#This Row],[civ_men_pct]]</f>
        <v>400</v>
      </c>
      <c r="K9">
        <f>ConflictData[[#This Row],[civilian_killed_est]]*ConflictData[[#This Row],[civ_women_pct]]</f>
        <v>300</v>
      </c>
      <c r="L9">
        <v>300</v>
      </c>
      <c r="M9">
        <v>4000</v>
      </c>
      <c r="N9">
        <v>500</v>
      </c>
      <c r="O9">
        <v>300</v>
      </c>
      <c r="P9">
        <v>250000</v>
      </c>
      <c r="Q9">
        <v>50000</v>
      </c>
      <c r="R9">
        <v>500000</v>
      </c>
      <c r="S9">
        <v>200</v>
      </c>
      <c r="T9">
        <v>0</v>
      </c>
      <c r="U9">
        <v>1</v>
      </c>
      <c r="V9" t="s">
        <v>84</v>
      </c>
      <c r="W9">
        <v>6</v>
      </c>
    </row>
    <row r="10" spans="1:23" x14ac:dyDescent="0.3">
      <c r="A10" t="s">
        <v>85</v>
      </c>
      <c r="B10" t="s">
        <v>86</v>
      </c>
      <c r="C10">
        <v>500000</v>
      </c>
      <c r="D10">
        <v>1000000</v>
      </c>
      <c r="E10">
        <f>(ConflictData[[#This Row],[total_dead_est_low]]+ConflictData[[#This Row],[total_dead_est_high]])/2</f>
        <v>750000</v>
      </c>
      <c r="F10">
        <v>100000</v>
      </c>
      <c r="G10" s="1">
        <v>0.5</v>
      </c>
      <c r="H10" s="1">
        <v>0.2</v>
      </c>
      <c r="I10" s="1">
        <v>0.3</v>
      </c>
      <c r="J10">
        <f>ConflictData[[#This Row],[civilian_killed_est]]*ConflictData[[#This Row],[civ_men_pct]]</f>
        <v>50000</v>
      </c>
      <c r="K10">
        <f>ConflictData[[#This Row],[civilian_killed_est]]*ConflictData[[#This Row],[civ_women_pct]]</f>
        <v>20000</v>
      </c>
      <c r="L10">
        <v>30000</v>
      </c>
      <c r="M10">
        <v>1500000</v>
      </c>
      <c r="N10">
        <v>80000</v>
      </c>
      <c r="O10">
        <v>50000</v>
      </c>
      <c r="P10">
        <v>4000000</v>
      </c>
      <c r="Q10">
        <v>2500000</v>
      </c>
      <c r="R10">
        <v>10000000</v>
      </c>
      <c r="S10">
        <v>50000</v>
      </c>
      <c r="T10">
        <v>10</v>
      </c>
      <c r="U10">
        <v>5</v>
      </c>
      <c r="V10" t="s">
        <v>93</v>
      </c>
      <c r="W10">
        <v>5</v>
      </c>
    </row>
    <row r="11" spans="1:23" x14ac:dyDescent="0.3">
      <c r="A11" t="s">
        <v>94</v>
      </c>
      <c r="B11" t="s">
        <v>95</v>
      </c>
      <c r="C11">
        <v>6000</v>
      </c>
      <c r="D11">
        <v>18000</v>
      </c>
      <c r="E11">
        <f>(ConflictData[[#This Row],[total_dead_est_low]]+ConflictData[[#This Row],[total_dead_est_high]])/2</f>
        <v>12000</v>
      </c>
      <c r="F11">
        <v>17500</v>
      </c>
      <c r="G11" s="1">
        <v>0.35</v>
      </c>
      <c r="H11" s="1">
        <v>0.3</v>
      </c>
      <c r="I11" s="1">
        <v>0.35</v>
      </c>
      <c r="J11">
        <f>ConflictData[[#This Row],[civilian_killed_est]]*ConflictData[[#This Row],[civ_men_pct]]</f>
        <v>6125</v>
      </c>
      <c r="K11">
        <f>ConflictData[[#This Row],[civilian_killed_est]]*ConflictData[[#This Row],[civ_women_pct]]</f>
        <v>5250</v>
      </c>
      <c r="L11">
        <v>6100</v>
      </c>
      <c r="M11">
        <v>30000</v>
      </c>
      <c r="N11">
        <v>8000</v>
      </c>
      <c r="O11">
        <v>3000</v>
      </c>
      <c r="P11">
        <v>800000</v>
      </c>
      <c r="Q11">
        <v>400000</v>
      </c>
      <c r="R11">
        <v>2000000</v>
      </c>
      <c r="S11">
        <v>5000</v>
      </c>
      <c r="T11">
        <v>20</v>
      </c>
      <c r="U11">
        <v>10</v>
      </c>
      <c r="V11" t="s">
        <v>101</v>
      </c>
      <c r="W11">
        <v>5</v>
      </c>
    </row>
    <row r="12" spans="1:23" x14ac:dyDescent="0.3">
      <c r="A12" t="s">
        <v>102</v>
      </c>
      <c r="B12" t="s">
        <v>103</v>
      </c>
      <c r="C12">
        <v>25000</v>
      </c>
      <c r="D12">
        <v>35000</v>
      </c>
      <c r="E12">
        <f>(ConflictData[[#This Row],[total_dead_est_low]]+ConflictData[[#This Row],[total_dead_est_high]])/2</f>
        <v>30000</v>
      </c>
      <c r="F12">
        <v>3500</v>
      </c>
      <c r="G12" s="1">
        <v>0.45</v>
      </c>
      <c r="H12" s="1">
        <v>0.25</v>
      </c>
      <c r="I12" s="1">
        <v>0.3</v>
      </c>
      <c r="J12">
        <f>ConflictData[[#This Row],[civilian_killed_est]]*ConflictData[[#This Row],[civ_men_pct]]</f>
        <v>1575</v>
      </c>
      <c r="K12">
        <f>ConflictData[[#This Row],[civilian_killed_est]]*ConflictData[[#This Row],[civ_women_pct]]</f>
        <v>875</v>
      </c>
      <c r="L12">
        <v>1050</v>
      </c>
      <c r="M12">
        <v>75000</v>
      </c>
      <c r="N12">
        <v>80000</v>
      </c>
      <c r="O12">
        <v>5000</v>
      </c>
      <c r="P12">
        <v>5000000</v>
      </c>
      <c r="Q12">
        <v>3000000</v>
      </c>
      <c r="R12">
        <v>8000000</v>
      </c>
      <c r="S12">
        <v>2000</v>
      </c>
      <c r="T12">
        <v>0</v>
      </c>
      <c r="U12">
        <v>2</v>
      </c>
      <c r="V12" t="s">
        <v>109</v>
      </c>
      <c r="W12">
        <v>9</v>
      </c>
    </row>
    <row r="13" spans="1:23" x14ac:dyDescent="0.3">
      <c r="A13" t="s">
        <v>110</v>
      </c>
      <c r="B13" t="s">
        <v>111</v>
      </c>
      <c r="C13">
        <v>1500</v>
      </c>
      <c r="D13">
        <v>3000</v>
      </c>
      <c r="E13">
        <f>(ConflictData[[#This Row],[total_dead_est_low]]+ConflictData[[#This Row],[total_dead_est_high]])/2</f>
        <v>2250</v>
      </c>
      <c r="F13">
        <v>600</v>
      </c>
      <c r="G13" s="1">
        <v>0.55000000000000004</v>
      </c>
      <c r="H13" s="1">
        <v>0.2</v>
      </c>
      <c r="I13" s="1">
        <v>0.25</v>
      </c>
      <c r="J13">
        <f>ConflictData[[#This Row],[civilian_killed_est]]*ConflictData[[#This Row],[civ_men_pct]]</f>
        <v>330</v>
      </c>
      <c r="K13">
        <f>ConflictData[[#This Row],[civilian_killed_est]]*ConflictData[[#This Row],[civ_women_pct]]</f>
        <v>120</v>
      </c>
      <c r="L13">
        <v>150</v>
      </c>
      <c r="M13">
        <v>3000</v>
      </c>
      <c r="R13">
        <v>2000000</v>
      </c>
      <c r="S13">
        <v>200</v>
      </c>
      <c r="T13">
        <v>0</v>
      </c>
      <c r="U13">
        <v>0</v>
      </c>
      <c r="V13" t="s">
        <v>113</v>
      </c>
      <c r="W13">
        <v>6</v>
      </c>
    </row>
    <row r="14" spans="1:23" x14ac:dyDescent="0.3">
      <c r="A14" t="s">
        <v>114</v>
      </c>
      <c r="B14" t="s">
        <v>115</v>
      </c>
      <c r="C14">
        <v>1000</v>
      </c>
      <c r="D14">
        <v>2000</v>
      </c>
      <c r="E14">
        <f>(ConflictData[[#This Row],[total_dead_est_low]]+ConflictData[[#This Row],[total_dead_est_high]])/2</f>
        <v>1500</v>
      </c>
      <c r="F14">
        <v>750</v>
      </c>
      <c r="G14" s="1">
        <v>0.4</v>
      </c>
      <c r="H14" s="1">
        <v>0.25</v>
      </c>
      <c r="I14" s="1">
        <v>0.35</v>
      </c>
      <c r="J14">
        <f>ConflictData[[#This Row],[civilian_killed_est]]*ConflictData[[#This Row],[civ_men_pct]]</f>
        <v>300</v>
      </c>
      <c r="K14">
        <f>ConflictData[[#This Row],[civilian_killed_est]]*ConflictData[[#This Row],[civ_women_pct]]</f>
        <v>187.5</v>
      </c>
      <c r="L14">
        <v>260</v>
      </c>
      <c r="M14">
        <v>80000</v>
      </c>
      <c r="N14">
        <v>5000</v>
      </c>
      <c r="O14">
        <v>500</v>
      </c>
      <c r="P14">
        <v>100000</v>
      </c>
      <c r="Q14">
        <v>50000</v>
      </c>
      <c r="R14">
        <v>2000000</v>
      </c>
      <c r="S14">
        <v>200</v>
      </c>
      <c r="T14">
        <v>2</v>
      </c>
      <c r="U14">
        <v>1</v>
      </c>
      <c r="V14" t="s">
        <v>117</v>
      </c>
      <c r="W14">
        <v>7</v>
      </c>
    </row>
    <row r="15" spans="1:23" x14ac:dyDescent="0.3">
      <c r="A15" t="s">
        <v>118</v>
      </c>
      <c r="B15" t="s">
        <v>119</v>
      </c>
      <c r="C15">
        <v>3000</v>
      </c>
      <c r="D15">
        <v>5000</v>
      </c>
      <c r="E15">
        <f>(ConflictData[[#This Row],[total_dead_est_low]]+ConflictData[[#This Row],[total_dead_est_high]])/2</f>
        <v>4000</v>
      </c>
      <c r="F15">
        <v>2000</v>
      </c>
      <c r="G15" s="1">
        <v>0.4</v>
      </c>
      <c r="H15" s="1">
        <v>0.25</v>
      </c>
      <c r="I15" s="1">
        <v>0.35</v>
      </c>
      <c r="J15">
        <f>ConflictData[[#This Row],[civilian_killed_est]]*ConflictData[[#This Row],[civ_men_pct]]</f>
        <v>800</v>
      </c>
      <c r="K15">
        <f>ConflictData[[#This Row],[civilian_killed_est]]*ConflictData[[#This Row],[civ_women_pct]]</f>
        <v>500</v>
      </c>
      <c r="L15">
        <v>700</v>
      </c>
      <c r="M15">
        <v>50000</v>
      </c>
      <c r="N15">
        <v>3000</v>
      </c>
      <c r="O15">
        <v>800</v>
      </c>
      <c r="P15">
        <v>200000</v>
      </c>
      <c r="Q15">
        <v>50000</v>
      </c>
      <c r="R15">
        <v>3000000</v>
      </c>
      <c r="S15">
        <v>500</v>
      </c>
      <c r="T15">
        <v>5</v>
      </c>
      <c r="U15">
        <v>2</v>
      </c>
      <c r="V15" t="s">
        <v>123</v>
      </c>
      <c r="W15">
        <v>8</v>
      </c>
    </row>
    <row r="16" spans="1:23" x14ac:dyDescent="0.3">
      <c r="A16" t="s">
        <v>124</v>
      </c>
      <c r="B16" t="s">
        <v>125</v>
      </c>
      <c r="C16">
        <v>150000</v>
      </c>
      <c r="D16">
        <v>300000</v>
      </c>
      <c r="E16">
        <f>(ConflictData[[#This Row],[total_dead_est_low]]+ConflictData[[#This Row],[total_dead_est_high]])/2</f>
        <v>225000</v>
      </c>
      <c r="F16">
        <v>200000</v>
      </c>
      <c r="G16" s="1">
        <v>0.35</v>
      </c>
      <c r="H16" s="1">
        <v>0.3</v>
      </c>
      <c r="I16" s="1">
        <v>0.35</v>
      </c>
      <c r="J16">
        <f>ConflictData[[#This Row],[civilian_killed_est]]*ConflictData[[#This Row],[civ_men_pct]]</f>
        <v>70000</v>
      </c>
      <c r="K16">
        <f>ConflictData[[#This Row],[civilian_killed_est]]*ConflictData[[#This Row],[civ_women_pct]]</f>
        <v>60000</v>
      </c>
      <c r="L16">
        <v>70000</v>
      </c>
      <c r="M16">
        <v>100000</v>
      </c>
      <c r="N16">
        <v>20000</v>
      </c>
      <c r="O16">
        <v>8000</v>
      </c>
      <c r="P16">
        <v>4500000</v>
      </c>
      <c r="Q16">
        <v>2000000</v>
      </c>
      <c r="R16">
        <v>15000000</v>
      </c>
      <c r="S16">
        <v>100000</v>
      </c>
      <c r="T16">
        <v>150</v>
      </c>
      <c r="U16">
        <v>80</v>
      </c>
      <c r="V16" t="s">
        <v>130</v>
      </c>
      <c r="W16">
        <v>8</v>
      </c>
    </row>
    <row r="17" spans="1:23" x14ac:dyDescent="0.3">
      <c r="A17" t="s">
        <v>131</v>
      </c>
      <c r="B17" t="s">
        <v>132</v>
      </c>
      <c r="C17">
        <v>10000</v>
      </c>
      <c r="D17">
        <v>20000</v>
      </c>
      <c r="E17">
        <f>(ConflictData[[#This Row],[total_dead_est_low]]+ConflictData[[#This Row],[total_dead_est_high]])/2</f>
        <v>15000</v>
      </c>
      <c r="F17">
        <v>25000</v>
      </c>
      <c r="G17" s="1">
        <v>0.35</v>
      </c>
      <c r="H17" s="1">
        <v>0.25</v>
      </c>
      <c r="I17" s="1">
        <v>0.4</v>
      </c>
      <c r="J17">
        <f>ConflictData[[#This Row],[civilian_killed_est]]*ConflictData[[#This Row],[civ_men_pct]]</f>
        <v>8750</v>
      </c>
      <c r="K17">
        <f>ConflictData[[#This Row],[civilian_killed_est]]*ConflictData[[#This Row],[civ_women_pct]]</f>
        <v>6250</v>
      </c>
      <c r="L17">
        <v>10000</v>
      </c>
      <c r="M17">
        <v>80000</v>
      </c>
      <c r="N17">
        <v>3000</v>
      </c>
      <c r="O17">
        <v>5000</v>
      </c>
      <c r="P17">
        <v>2000000</v>
      </c>
      <c r="Q17">
        <v>500000</v>
      </c>
      <c r="R17">
        <v>8000000</v>
      </c>
      <c r="S17">
        <v>20000</v>
      </c>
      <c r="T17">
        <v>30</v>
      </c>
      <c r="U17">
        <v>10</v>
      </c>
      <c r="V17" t="s">
        <v>133</v>
      </c>
      <c r="W17">
        <v>7</v>
      </c>
    </row>
    <row r="18" spans="1:23" x14ac:dyDescent="0.3">
      <c r="A18" t="s">
        <v>134</v>
      </c>
      <c r="B18" t="s">
        <v>135</v>
      </c>
      <c r="C18">
        <v>1365</v>
      </c>
      <c r="D18">
        <v>1500</v>
      </c>
      <c r="E18">
        <f>(ConflictData[[#This Row],[total_dead_est_low]]+ConflictData[[#This Row],[total_dead_est_high]])/2</f>
        <v>1432.5</v>
      </c>
      <c r="F18">
        <v>1200</v>
      </c>
      <c r="G18" s="1">
        <v>0.35</v>
      </c>
      <c r="H18" s="1">
        <v>0.3</v>
      </c>
      <c r="I18" s="1">
        <v>0.35</v>
      </c>
      <c r="J18">
        <f>ConflictData[[#This Row],[civilian_killed_est]]*ConflictData[[#This Row],[civ_men_pct]]</f>
        <v>420</v>
      </c>
      <c r="K18">
        <f>ConflictData[[#This Row],[civilian_killed_est]]*ConflictData[[#This Row],[civ_women_pct]]</f>
        <v>360</v>
      </c>
      <c r="L18">
        <v>420</v>
      </c>
      <c r="M18">
        <v>4400</v>
      </c>
      <c r="N18">
        <v>200</v>
      </c>
      <c r="O18">
        <v>400</v>
      </c>
      <c r="P18">
        <v>1000000</v>
      </c>
      <c r="Q18">
        <v>100000</v>
      </c>
      <c r="R18">
        <v>1500000</v>
      </c>
      <c r="S18">
        <v>300</v>
      </c>
      <c r="T18">
        <v>1</v>
      </c>
      <c r="U18">
        <v>2</v>
      </c>
      <c r="V18" t="s">
        <v>140</v>
      </c>
      <c r="W18">
        <v>8</v>
      </c>
    </row>
    <row r="19" spans="1:23" x14ac:dyDescent="0.3">
      <c r="A19" t="s">
        <v>141</v>
      </c>
      <c r="B19" t="s">
        <v>142</v>
      </c>
      <c r="C19">
        <v>1390</v>
      </c>
      <c r="D19">
        <v>1440</v>
      </c>
      <c r="E19">
        <f>(ConflictData[[#This Row],[total_dead_est_low]]+ConflictData[[#This Row],[total_dead_est_high]])/2</f>
        <v>1415</v>
      </c>
      <c r="F19">
        <v>350</v>
      </c>
      <c r="G19" s="1">
        <v>0.3</v>
      </c>
      <c r="H19" s="1">
        <v>0.3</v>
      </c>
      <c r="I19" s="1">
        <v>0.4</v>
      </c>
      <c r="J19">
        <f>ConflictData[[#This Row],[civilian_killed_est]]*ConflictData[[#This Row],[civ_men_pct]]</f>
        <v>105</v>
      </c>
      <c r="K19">
        <f>ConflictData[[#This Row],[civilian_killed_est]]*ConflictData[[#This Row],[civ_women_pct]]</f>
        <v>105</v>
      </c>
      <c r="L19">
        <v>490</v>
      </c>
      <c r="M19">
        <v>5300</v>
      </c>
      <c r="N19">
        <v>100</v>
      </c>
      <c r="O19">
        <v>200</v>
      </c>
      <c r="P19">
        <v>250000</v>
      </c>
      <c r="R19">
        <v>1500000</v>
      </c>
      <c r="S19">
        <v>200</v>
      </c>
      <c r="T19">
        <v>0</v>
      </c>
      <c r="U19">
        <v>1</v>
      </c>
      <c r="V19" t="s">
        <v>146</v>
      </c>
      <c r="W19">
        <v>8</v>
      </c>
    </row>
    <row r="20" spans="1:23" x14ac:dyDescent="0.3">
      <c r="A20" t="s">
        <v>147</v>
      </c>
      <c r="B20" t="s">
        <v>148</v>
      </c>
      <c r="C20">
        <v>170</v>
      </c>
      <c r="D20">
        <v>180</v>
      </c>
      <c r="E20">
        <f>(ConflictData[[#This Row],[total_dead_est_low]]+ConflictData[[#This Row],[total_dead_est_high]])/2</f>
        <v>175</v>
      </c>
      <c r="F20">
        <v>15</v>
      </c>
      <c r="G20" s="1">
        <v>0.3</v>
      </c>
      <c r="H20" s="1">
        <v>0.3</v>
      </c>
      <c r="I20" s="1">
        <v>0.4</v>
      </c>
      <c r="J20">
        <f>ConflictData[[#This Row],[civilian_killed_est]]*ConflictData[[#This Row],[civ_men_pct]]</f>
        <v>4.5</v>
      </c>
      <c r="K20">
        <f>ConflictData[[#This Row],[civilian_killed_est]]*ConflictData[[#This Row],[civ_women_pct]]</f>
        <v>4.5</v>
      </c>
      <c r="L20">
        <v>60</v>
      </c>
      <c r="M20">
        <v>1200</v>
      </c>
      <c r="P20">
        <v>100000</v>
      </c>
      <c r="R20">
        <v>1500000</v>
      </c>
      <c r="S20">
        <v>30</v>
      </c>
      <c r="T20">
        <v>0</v>
      </c>
      <c r="U20">
        <v>0</v>
      </c>
      <c r="V20" t="s">
        <v>149</v>
      </c>
      <c r="W20">
        <v>8</v>
      </c>
    </row>
    <row r="21" spans="1:23" x14ac:dyDescent="0.3">
      <c r="A21" t="s">
        <v>150</v>
      </c>
      <c r="B21" t="s">
        <v>151</v>
      </c>
      <c r="C21">
        <v>2100</v>
      </c>
      <c r="D21">
        <v>2200</v>
      </c>
      <c r="E21">
        <f>(ConflictData[[#This Row],[total_dead_est_low]]+ConflictData[[#This Row],[total_dead_est_high]])/2</f>
        <v>2150</v>
      </c>
      <c r="F21">
        <v>1500</v>
      </c>
      <c r="G21" s="1">
        <v>0.3</v>
      </c>
      <c r="H21" s="1">
        <v>0.27</v>
      </c>
      <c r="I21" s="1">
        <v>0.43</v>
      </c>
      <c r="J21">
        <f>ConflictData[[#This Row],[civilian_killed_est]]*ConflictData[[#This Row],[civ_men_pct]]</f>
        <v>450</v>
      </c>
      <c r="K21">
        <f>ConflictData[[#This Row],[civilian_killed_est]]*ConflictData[[#This Row],[civ_women_pct]]</f>
        <v>405</v>
      </c>
      <c r="L21">
        <v>640</v>
      </c>
      <c r="M21">
        <v>11000</v>
      </c>
      <c r="N21">
        <v>300</v>
      </c>
      <c r="O21">
        <v>300</v>
      </c>
      <c r="P21">
        <v>500000</v>
      </c>
      <c r="R21">
        <v>2000000</v>
      </c>
      <c r="S21">
        <v>500</v>
      </c>
      <c r="T21">
        <v>2</v>
      </c>
      <c r="U21">
        <v>1</v>
      </c>
      <c r="V21" t="s">
        <v>154</v>
      </c>
      <c r="W21">
        <v>8</v>
      </c>
    </row>
    <row r="22" spans="1:23" x14ac:dyDescent="0.3">
      <c r="A22" t="s">
        <v>155</v>
      </c>
      <c r="B22" t="s">
        <v>156</v>
      </c>
      <c r="C22">
        <v>350000</v>
      </c>
      <c r="D22">
        <v>500000</v>
      </c>
      <c r="E22">
        <f>(ConflictData[[#This Row],[total_dead_est_low]]+ConflictData[[#This Row],[total_dead_est_high]])/2</f>
        <v>425000</v>
      </c>
      <c r="F22">
        <v>250000</v>
      </c>
      <c r="G22" s="1">
        <v>0.35</v>
      </c>
      <c r="H22" s="1">
        <v>0.28000000000000003</v>
      </c>
      <c r="I22" s="1">
        <v>0.37</v>
      </c>
      <c r="J22">
        <f>ConflictData[[#This Row],[civilian_killed_est]]*ConflictData[[#This Row],[civ_men_pct]]</f>
        <v>87500</v>
      </c>
      <c r="K22">
        <f>ConflictData[[#This Row],[civilian_killed_est]]*ConflictData[[#This Row],[civ_women_pct]]</f>
        <v>70000</v>
      </c>
      <c r="L22">
        <v>92000</v>
      </c>
      <c r="M22">
        <v>1000000</v>
      </c>
      <c r="N22">
        <v>100000</v>
      </c>
      <c r="O22">
        <v>200000</v>
      </c>
      <c r="P22">
        <v>13000000</v>
      </c>
      <c r="Q22">
        <v>6600000</v>
      </c>
      <c r="R22">
        <v>20000000</v>
      </c>
      <c r="S22">
        <v>150000</v>
      </c>
      <c r="T22">
        <v>600</v>
      </c>
      <c r="U22">
        <v>100</v>
      </c>
      <c r="V22" t="s">
        <v>161</v>
      </c>
      <c r="W22">
        <v>7</v>
      </c>
    </row>
    <row r="23" spans="1:23" x14ac:dyDescent="0.3">
      <c r="A23" t="s">
        <v>162</v>
      </c>
      <c r="B23" t="s">
        <v>163</v>
      </c>
      <c r="C23">
        <v>30000</v>
      </c>
      <c r="D23">
        <v>55000</v>
      </c>
      <c r="E23">
        <f>(ConflictData[[#This Row],[total_dead_est_low]]+ConflictData[[#This Row],[total_dead_est_high]])/2</f>
        <v>42500</v>
      </c>
      <c r="F23">
        <v>11000</v>
      </c>
      <c r="G23" s="1">
        <v>0.35</v>
      </c>
      <c r="H23" s="1">
        <v>0.25</v>
      </c>
      <c r="I23" s="1">
        <v>0.4</v>
      </c>
      <c r="J23">
        <f>ConflictData[[#This Row],[civilian_killed_est]]*ConflictData[[#This Row],[civ_men_pct]]</f>
        <v>3849.9999999999995</v>
      </c>
      <c r="K23">
        <f>ConflictData[[#This Row],[civilian_killed_est]]*ConflictData[[#This Row],[civ_women_pct]]</f>
        <v>2750</v>
      </c>
      <c r="L23">
        <v>4400</v>
      </c>
      <c r="M23">
        <v>40000</v>
      </c>
      <c r="N23">
        <v>12000</v>
      </c>
      <c r="O23">
        <v>5000</v>
      </c>
      <c r="P23">
        <v>8000000</v>
      </c>
      <c r="Q23">
        <v>3500000</v>
      </c>
      <c r="R23">
        <v>15000000</v>
      </c>
      <c r="S23">
        <v>20000</v>
      </c>
      <c r="T23">
        <v>50</v>
      </c>
      <c r="U23">
        <v>30</v>
      </c>
      <c r="V23" t="s">
        <v>168</v>
      </c>
      <c r="W23">
        <v>8</v>
      </c>
    </row>
    <row r="24" spans="1:23" x14ac:dyDescent="0.3">
      <c r="A24" t="s">
        <v>169</v>
      </c>
      <c r="B24" t="s">
        <v>170</v>
      </c>
      <c r="C24">
        <v>150000</v>
      </c>
      <c r="D24">
        <v>377000</v>
      </c>
      <c r="E24">
        <f>(ConflictData[[#This Row],[total_dead_est_low]]+ConflictData[[#This Row],[total_dead_est_high]])/2</f>
        <v>263500</v>
      </c>
      <c r="F24">
        <v>100000</v>
      </c>
      <c r="G24" s="1">
        <v>0.4</v>
      </c>
      <c r="H24" s="1">
        <v>0.28000000000000003</v>
      </c>
      <c r="I24" s="1">
        <v>0.32</v>
      </c>
      <c r="J24">
        <f>ConflictData[[#This Row],[civilian_killed_est]]*ConflictData[[#This Row],[civ_men_pct]]</f>
        <v>40000</v>
      </c>
      <c r="K24">
        <f>ConflictData[[#This Row],[civilian_killed_est]]*ConflictData[[#This Row],[civ_women_pct]]</f>
        <v>28000.000000000004</v>
      </c>
      <c r="L24">
        <v>32000</v>
      </c>
      <c r="M24">
        <v>400000</v>
      </c>
      <c r="N24">
        <v>20000</v>
      </c>
      <c r="O24">
        <v>30000</v>
      </c>
      <c r="P24">
        <v>4500000</v>
      </c>
      <c r="Q24">
        <v>200000</v>
      </c>
      <c r="R24">
        <v>23000000</v>
      </c>
      <c r="S24">
        <v>200000</v>
      </c>
      <c r="T24">
        <v>30</v>
      </c>
      <c r="U24">
        <v>25</v>
      </c>
      <c r="V24" t="s">
        <v>173</v>
      </c>
      <c r="W24">
        <v>6</v>
      </c>
    </row>
    <row r="25" spans="1:23" x14ac:dyDescent="0.3">
      <c r="A25" t="s">
        <v>174</v>
      </c>
      <c r="B25" t="s">
        <v>175</v>
      </c>
      <c r="C25">
        <v>70000</v>
      </c>
      <c r="D25">
        <v>80000</v>
      </c>
      <c r="E25">
        <f>(ConflictData[[#This Row],[total_dead_est_low]]+ConflictData[[#This Row],[total_dead_est_high]])/2</f>
        <v>75000</v>
      </c>
      <c r="F25">
        <v>58000</v>
      </c>
      <c r="G25" s="1">
        <v>0.2</v>
      </c>
      <c r="H25" s="1">
        <v>0.3</v>
      </c>
      <c r="I25" s="1">
        <v>0.5</v>
      </c>
      <c r="J25">
        <f>ConflictData[[#This Row],[civilian_killed_est]]*ConflictData[[#This Row],[civ_men_pct]]</f>
        <v>11600</v>
      </c>
      <c r="K25">
        <f>ConflictData[[#This Row],[civilian_killed_est]]*ConflictData[[#This Row],[civ_women_pct]]</f>
        <v>17400</v>
      </c>
      <c r="L25">
        <v>29000</v>
      </c>
      <c r="M25">
        <v>100000</v>
      </c>
      <c r="N25">
        <v>251</v>
      </c>
      <c r="O25">
        <v>10000</v>
      </c>
      <c r="P25">
        <v>2000000</v>
      </c>
      <c r="Q25">
        <v>100000</v>
      </c>
      <c r="R25">
        <v>2300000</v>
      </c>
      <c r="S25">
        <v>20000</v>
      </c>
      <c r="T25">
        <v>248</v>
      </c>
      <c r="U25">
        <v>224</v>
      </c>
      <c r="V25" t="s">
        <v>179</v>
      </c>
      <c r="W25">
        <v>8</v>
      </c>
    </row>
    <row r="26" spans="1:23" x14ac:dyDescent="0.3">
      <c r="A26" t="s">
        <v>180</v>
      </c>
      <c r="B26" t="s">
        <v>181</v>
      </c>
      <c r="C26">
        <v>4300</v>
      </c>
      <c r="D26">
        <v>7000</v>
      </c>
      <c r="E26">
        <f>(ConflictData[[#This Row],[total_dead_est_low]]+ConflictData[[#This Row],[total_dead_est_high]])/2</f>
        <v>5650</v>
      </c>
      <c r="F26">
        <v>3000</v>
      </c>
      <c r="G26" s="1">
        <v>0.35</v>
      </c>
      <c r="H26" s="1">
        <v>0.3</v>
      </c>
      <c r="I26" s="1">
        <v>0.35</v>
      </c>
      <c r="J26">
        <f>ConflictData[[#This Row],[civilian_killed_est]]*ConflictData[[#This Row],[civ_men_pct]]</f>
        <v>1050</v>
      </c>
      <c r="K26">
        <f>ConflictData[[#This Row],[civilian_killed_est]]*ConflictData[[#This Row],[civ_women_pct]]</f>
        <v>900</v>
      </c>
      <c r="L26">
        <v>1050</v>
      </c>
      <c r="M26">
        <v>15000</v>
      </c>
      <c r="N26">
        <v>200</v>
      </c>
      <c r="O26">
        <v>500</v>
      </c>
      <c r="P26">
        <v>1200000</v>
      </c>
      <c r="Q26">
        <v>100000</v>
      </c>
      <c r="R26">
        <v>2000000</v>
      </c>
      <c r="S26">
        <v>500</v>
      </c>
      <c r="T26">
        <v>5</v>
      </c>
      <c r="U26">
        <v>3</v>
      </c>
      <c r="V26" t="s">
        <v>183</v>
      </c>
      <c r="W26">
        <v>7</v>
      </c>
    </row>
    <row r="27" spans="1:23" x14ac:dyDescent="0.3">
      <c r="A27" t="s">
        <v>184</v>
      </c>
      <c r="B27" t="s">
        <v>185</v>
      </c>
      <c r="C27">
        <v>2000</v>
      </c>
      <c r="D27">
        <v>3000</v>
      </c>
      <c r="E27">
        <f>(ConflictData[[#This Row],[total_dead_est_low]]+ConflictData[[#This Row],[total_dead_est_high]])/2</f>
        <v>2500</v>
      </c>
      <c r="F27">
        <v>2000</v>
      </c>
      <c r="G27" s="1">
        <v>0.4</v>
      </c>
      <c r="H27" s="1">
        <v>0.3</v>
      </c>
      <c r="I27" s="1">
        <v>0.3</v>
      </c>
      <c r="J27">
        <f>ConflictData[[#This Row],[civilian_killed_est]]*ConflictData[[#This Row],[civ_men_pct]]</f>
        <v>800</v>
      </c>
      <c r="K27">
        <f>ConflictData[[#This Row],[civilian_killed_est]]*ConflictData[[#This Row],[civ_women_pct]]</f>
        <v>600</v>
      </c>
      <c r="L27">
        <v>600</v>
      </c>
      <c r="M27">
        <v>8000</v>
      </c>
      <c r="N27">
        <v>2</v>
      </c>
      <c r="O27">
        <v>100</v>
      </c>
      <c r="P27">
        <v>500000</v>
      </c>
      <c r="R27">
        <v>5000000</v>
      </c>
      <c r="S27">
        <v>200</v>
      </c>
      <c r="T27">
        <v>2</v>
      </c>
      <c r="U27">
        <v>1</v>
      </c>
      <c r="V27" t="s">
        <v>188</v>
      </c>
      <c r="W27">
        <v>7</v>
      </c>
    </row>
    <row r="28" spans="1:23" x14ac:dyDescent="0.3">
      <c r="A28" t="s">
        <v>189</v>
      </c>
      <c r="B28" t="s">
        <v>190</v>
      </c>
      <c r="C28">
        <v>1270</v>
      </c>
      <c r="D28">
        <v>2000</v>
      </c>
      <c r="E28">
        <f>(ConflictData[[#This Row],[total_dead_est_low]]+ConflictData[[#This Row],[total_dead_est_high]])/2</f>
        <v>1635</v>
      </c>
      <c r="F28">
        <v>1300</v>
      </c>
      <c r="G28" s="1">
        <v>0.38</v>
      </c>
      <c r="H28" s="1">
        <v>0.32</v>
      </c>
      <c r="I28" s="1">
        <v>0.3</v>
      </c>
      <c r="J28">
        <f>ConflictData[[#This Row],[civilian_killed_est]]*ConflictData[[#This Row],[civ_men_pct]]</f>
        <v>494</v>
      </c>
      <c r="K28">
        <f>ConflictData[[#This Row],[civilian_killed_est]]*ConflictData[[#This Row],[civ_women_pct]]</f>
        <v>416</v>
      </c>
      <c r="L28">
        <v>390</v>
      </c>
      <c r="M28">
        <v>5000</v>
      </c>
      <c r="P28">
        <v>1000000</v>
      </c>
      <c r="R28">
        <v>10000000</v>
      </c>
      <c r="S28">
        <v>100</v>
      </c>
      <c r="T28">
        <v>5</v>
      </c>
      <c r="U28">
        <v>3</v>
      </c>
      <c r="V28" t="s">
        <v>192</v>
      </c>
      <c r="W28">
        <v>5</v>
      </c>
    </row>
  </sheetData>
  <sheetProtection formatColumns="0" selectLockedCells="1" selectUn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C805-DF53-4134-AF8A-55024ED9C13F}">
  <dimension ref="A1:T92"/>
  <sheetViews>
    <sheetView tabSelected="1" zoomScale="65" zoomScaleNormal="65" workbookViewId="0">
      <selection activeCell="C67" sqref="C67"/>
    </sheetView>
  </sheetViews>
  <sheetFormatPr defaultRowHeight="14.4" x14ac:dyDescent="0.3"/>
  <cols>
    <col min="1" max="1" width="32.21875" bestFit="1" customWidth="1"/>
    <col min="2" max="2" width="27.33203125" bestFit="1" customWidth="1"/>
    <col min="3" max="3" width="29.88671875" bestFit="1" customWidth="1"/>
    <col min="4" max="4" width="30.21875" bestFit="1" customWidth="1"/>
    <col min="7" max="7" width="32.21875" bestFit="1" customWidth="1"/>
    <col min="8" max="8" width="23.5546875" bestFit="1" customWidth="1"/>
    <col min="9" max="9" width="22.33203125" bestFit="1" customWidth="1"/>
    <col min="12" max="12" width="32.21875" bestFit="1" customWidth="1"/>
    <col min="13" max="13" width="29.21875" bestFit="1" customWidth="1"/>
    <col min="14" max="14" width="36" bestFit="1" customWidth="1"/>
    <col min="15" max="15" width="16.77734375" bestFit="1" customWidth="1"/>
    <col min="16" max="16" width="23.5546875" bestFit="1" customWidth="1"/>
    <col min="17" max="17" width="15.21875" bestFit="1" customWidth="1"/>
    <col min="18" max="18" width="22.33203125" bestFit="1" customWidth="1"/>
    <col min="19" max="19" width="19.21875" bestFit="1" customWidth="1"/>
    <col min="20" max="20" width="24.88671875" bestFit="1" customWidth="1"/>
    <col min="21" max="21" width="21.109375" bestFit="1" customWidth="1"/>
    <col min="22" max="22" width="12.77734375" bestFit="1" customWidth="1"/>
    <col min="23" max="23" width="29.88671875" bestFit="1" customWidth="1"/>
    <col min="24" max="24" width="12.21875" bestFit="1" customWidth="1"/>
    <col min="25" max="25" width="17.33203125" bestFit="1" customWidth="1"/>
    <col min="26" max="26" width="18.21875" bestFit="1" customWidth="1"/>
    <col min="27" max="27" width="16.21875" bestFit="1" customWidth="1"/>
    <col min="28" max="28" width="11.44140625" bestFit="1" customWidth="1"/>
    <col min="29" max="29" width="26.109375" bestFit="1" customWidth="1"/>
    <col min="30" max="30" width="22.109375" bestFit="1" customWidth="1"/>
    <col min="31" max="31" width="16.77734375" bestFit="1" customWidth="1"/>
    <col min="32" max="32" width="13.5546875" bestFit="1" customWidth="1"/>
    <col min="33" max="33" width="11.109375" bestFit="1" customWidth="1"/>
    <col min="34" max="34" width="9.5546875" bestFit="1" customWidth="1"/>
    <col min="35" max="35" width="14.109375" bestFit="1" customWidth="1"/>
    <col min="36" max="36" width="19.33203125" bestFit="1" customWidth="1"/>
    <col min="37" max="37" width="14.21875" bestFit="1" customWidth="1"/>
    <col min="38" max="38" width="14.6640625" bestFit="1" customWidth="1"/>
    <col min="39" max="39" width="14.77734375" bestFit="1" customWidth="1"/>
    <col min="40" max="40" width="10.77734375" bestFit="1" customWidth="1"/>
  </cols>
  <sheetData>
    <row r="1" spans="1:20" x14ac:dyDescent="0.3">
      <c r="A1" s="10" t="e" vm="1">
        <v>#VALUE!</v>
      </c>
    </row>
    <row r="2" spans="1:20" x14ac:dyDescent="0.3">
      <c r="P2" t="s">
        <v>208</v>
      </c>
      <c r="R2" t="s">
        <v>206</v>
      </c>
      <c r="T2" t="s">
        <v>199</v>
      </c>
    </row>
    <row r="3" spans="1:20" x14ac:dyDescent="0.3">
      <c r="L3" s="3" t="s">
        <v>197</v>
      </c>
      <c r="M3" t="s">
        <v>199</v>
      </c>
      <c r="P3" s="6">
        <v>27</v>
      </c>
      <c r="R3">
        <v>2036493</v>
      </c>
      <c r="T3">
        <v>144400000</v>
      </c>
    </row>
    <row r="4" spans="1:20" x14ac:dyDescent="0.3">
      <c r="L4" s="4" t="s">
        <v>170</v>
      </c>
      <c r="M4">
        <v>23000000</v>
      </c>
    </row>
    <row r="5" spans="1:20" x14ac:dyDescent="0.3">
      <c r="L5" s="4" t="s">
        <v>156</v>
      </c>
      <c r="M5">
        <v>20000000</v>
      </c>
    </row>
    <row r="6" spans="1:20" x14ac:dyDescent="0.3">
      <c r="L6" s="4" t="s">
        <v>163</v>
      </c>
      <c r="M6">
        <v>15000000</v>
      </c>
    </row>
    <row r="7" spans="1:20" x14ac:dyDescent="0.3">
      <c r="L7" s="4" t="s">
        <v>125</v>
      </c>
      <c r="M7">
        <v>15000000</v>
      </c>
    </row>
    <row r="8" spans="1:20" x14ac:dyDescent="0.3">
      <c r="L8" s="4" t="s">
        <v>190</v>
      </c>
      <c r="M8">
        <v>10000000</v>
      </c>
      <c r="P8" t="s">
        <v>204</v>
      </c>
      <c r="R8" t="s">
        <v>205</v>
      </c>
      <c r="T8" t="s">
        <v>209</v>
      </c>
    </row>
    <row r="9" spans="1:20" x14ac:dyDescent="0.3">
      <c r="L9" s="4" t="s">
        <v>86</v>
      </c>
      <c r="M9">
        <v>10000000</v>
      </c>
      <c r="P9">
        <v>51630000</v>
      </c>
      <c r="R9">
        <v>20850000</v>
      </c>
      <c r="T9" s="7">
        <v>6.9259259259259256</v>
      </c>
    </row>
    <row r="10" spans="1:20" x14ac:dyDescent="0.3">
      <c r="L10" s="4" t="s">
        <v>103</v>
      </c>
      <c r="M10">
        <v>8000000</v>
      </c>
    </row>
    <row r="11" spans="1:20" x14ac:dyDescent="0.3">
      <c r="L11" s="4" t="s">
        <v>132</v>
      </c>
      <c r="M11">
        <v>8000000</v>
      </c>
    </row>
    <row r="12" spans="1:20" x14ac:dyDescent="0.3">
      <c r="L12" s="4" t="s">
        <v>185</v>
      </c>
      <c r="M12">
        <v>5000000</v>
      </c>
    </row>
    <row r="13" spans="1:20" x14ac:dyDescent="0.3">
      <c r="L13" s="4" t="s">
        <v>23</v>
      </c>
      <c r="M13">
        <v>4000000</v>
      </c>
    </row>
    <row r="14" spans="1:20" x14ac:dyDescent="0.3">
      <c r="L14" s="4" t="s">
        <v>73</v>
      </c>
      <c r="M14">
        <v>3000000</v>
      </c>
    </row>
    <row r="15" spans="1:20" x14ac:dyDescent="0.3">
      <c r="L15" s="4" t="s">
        <v>119</v>
      </c>
      <c r="M15">
        <v>3000000</v>
      </c>
    </row>
    <row r="16" spans="1:20" x14ac:dyDescent="0.3">
      <c r="L16" s="4" t="s">
        <v>175</v>
      </c>
      <c r="M16">
        <v>2300000</v>
      </c>
    </row>
    <row r="17" spans="1:13" x14ac:dyDescent="0.3">
      <c r="L17" s="4" t="s">
        <v>115</v>
      </c>
      <c r="M17">
        <v>2000000</v>
      </c>
    </row>
    <row r="18" spans="1:13" x14ac:dyDescent="0.3">
      <c r="L18" s="4" t="s">
        <v>95</v>
      </c>
      <c r="M18">
        <v>2000000</v>
      </c>
    </row>
    <row r="19" spans="1:13" x14ac:dyDescent="0.3">
      <c r="L19" s="4" t="s">
        <v>151</v>
      </c>
      <c r="M19">
        <v>2000000</v>
      </c>
    </row>
    <row r="20" spans="1:13" x14ac:dyDescent="0.3">
      <c r="L20" s="4" t="s">
        <v>111</v>
      </c>
      <c r="M20">
        <v>2000000</v>
      </c>
    </row>
    <row r="21" spans="1:13" x14ac:dyDescent="0.3">
      <c r="L21" s="4" t="s">
        <v>181</v>
      </c>
      <c r="M21">
        <v>2000000</v>
      </c>
    </row>
    <row r="22" spans="1:13" x14ac:dyDescent="0.3">
      <c r="L22" s="4" t="s">
        <v>142</v>
      </c>
      <c r="M22">
        <v>1500000</v>
      </c>
    </row>
    <row r="23" spans="1:13" x14ac:dyDescent="0.3">
      <c r="L23" s="4" t="s">
        <v>135</v>
      </c>
      <c r="M23">
        <v>1500000</v>
      </c>
    </row>
    <row r="24" spans="1:13" x14ac:dyDescent="0.3">
      <c r="L24" s="4" t="s">
        <v>148</v>
      </c>
      <c r="M24">
        <v>1500000</v>
      </c>
    </row>
    <row r="25" spans="1:13" x14ac:dyDescent="0.3">
      <c r="L25" s="4" t="s">
        <v>67</v>
      </c>
      <c r="M25">
        <v>1000000</v>
      </c>
    </row>
    <row r="26" spans="1:13" x14ac:dyDescent="0.3">
      <c r="G26" s="3" t="s">
        <v>197</v>
      </c>
      <c r="H26" t="s">
        <v>204</v>
      </c>
      <c r="I26" t="s">
        <v>205</v>
      </c>
      <c r="L26" s="4" t="s">
        <v>42</v>
      </c>
      <c r="M26">
        <v>1000000</v>
      </c>
    </row>
    <row r="27" spans="1:13" x14ac:dyDescent="0.3">
      <c r="A27" s="3" t="s">
        <v>197</v>
      </c>
      <c r="B27" t="s">
        <v>201</v>
      </c>
      <c r="C27" t="s">
        <v>202</v>
      </c>
      <c r="D27" t="s">
        <v>203</v>
      </c>
      <c r="G27" s="4" t="s">
        <v>23</v>
      </c>
      <c r="H27">
        <v>750000</v>
      </c>
      <c r="I27">
        <v>700000</v>
      </c>
      <c r="L27" s="4" t="s">
        <v>81</v>
      </c>
      <c r="M27">
        <v>500000</v>
      </c>
    </row>
    <row r="28" spans="1:13" x14ac:dyDescent="0.3">
      <c r="A28" s="4" t="s">
        <v>23</v>
      </c>
      <c r="B28">
        <v>1575</v>
      </c>
      <c r="C28">
        <v>875</v>
      </c>
      <c r="D28">
        <v>1050</v>
      </c>
      <c r="G28" s="4" t="s">
        <v>115</v>
      </c>
      <c r="H28">
        <v>100000</v>
      </c>
      <c r="I28">
        <v>50000</v>
      </c>
      <c r="L28" s="4" t="s">
        <v>33</v>
      </c>
      <c r="M28">
        <v>500000</v>
      </c>
    </row>
    <row r="29" spans="1:13" x14ac:dyDescent="0.3">
      <c r="A29" s="4" t="s">
        <v>115</v>
      </c>
      <c r="B29">
        <v>300</v>
      </c>
      <c r="C29">
        <v>187.5</v>
      </c>
      <c r="D29">
        <v>260</v>
      </c>
      <c r="G29" s="4" t="s">
        <v>135</v>
      </c>
      <c r="H29">
        <v>1000000</v>
      </c>
      <c r="I29">
        <v>100000</v>
      </c>
      <c r="L29" s="4" t="s">
        <v>60</v>
      </c>
      <c r="M29">
        <v>300000</v>
      </c>
    </row>
    <row r="30" spans="1:13" x14ac:dyDescent="0.3">
      <c r="A30" s="4" t="s">
        <v>135</v>
      </c>
      <c r="B30">
        <v>420</v>
      </c>
      <c r="C30">
        <v>360</v>
      </c>
      <c r="D30">
        <v>420</v>
      </c>
      <c r="G30" s="4" t="s">
        <v>119</v>
      </c>
      <c r="H30">
        <v>200000</v>
      </c>
      <c r="I30">
        <v>50000</v>
      </c>
      <c r="L30" s="4" t="s">
        <v>52</v>
      </c>
      <c r="M30">
        <v>300000</v>
      </c>
    </row>
    <row r="31" spans="1:13" x14ac:dyDescent="0.3">
      <c r="A31" s="4" t="s">
        <v>119</v>
      </c>
      <c r="B31">
        <v>800</v>
      </c>
      <c r="C31">
        <v>500</v>
      </c>
      <c r="D31">
        <v>700</v>
      </c>
      <c r="G31" s="4" t="s">
        <v>60</v>
      </c>
      <c r="H31">
        <v>100000</v>
      </c>
      <c r="I31">
        <v>50000</v>
      </c>
    </row>
    <row r="32" spans="1:13" x14ac:dyDescent="0.3">
      <c r="A32" s="4" t="s">
        <v>60</v>
      </c>
      <c r="B32">
        <v>800</v>
      </c>
      <c r="C32">
        <v>600</v>
      </c>
      <c r="D32">
        <v>600</v>
      </c>
      <c r="G32" s="4" t="s">
        <v>142</v>
      </c>
      <c r="H32">
        <v>250000</v>
      </c>
    </row>
    <row r="33" spans="1:14" x14ac:dyDescent="0.3">
      <c r="A33" s="4" t="s">
        <v>142</v>
      </c>
      <c r="B33">
        <v>105</v>
      </c>
      <c r="C33">
        <v>105</v>
      </c>
      <c r="D33">
        <v>490</v>
      </c>
      <c r="G33" s="4" t="s">
        <v>148</v>
      </c>
      <c r="H33">
        <v>100000</v>
      </c>
    </row>
    <row r="34" spans="1:14" x14ac:dyDescent="0.3">
      <c r="A34" s="4" t="s">
        <v>148</v>
      </c>
      <c r="B34">
        <v>4.5</v>
      </c>
      <c r="C34">
        <v>4.5</v>
      </c>
      <c r="D34">
        <v>60</v>
      </c>
      <c r="G34" s="4" t="s">
        <v>151</v>
      </c>
      <c r="H34">
        <v>500000</v>
      </c>
      <c r="L34" s="3" t="s">
        <v>197</v>
      </c>
      <c r="M34" t="s">
        <v>206</v>
      </c>
      <c r="N34" t="s">
        <v>207</v>
      </c>
    </row>
    <row r="35" spans="1:14" x14ac:dyDescent="0.3">
      <c r="A35" s="4" t="s">
        <v>151</v>
      </c>
      <c r="B35">
        <v>450</v>
      </c>
      <c r="C35">
        <v>405</v>
      </c>
      <c r="D35">
        <v>640</v>
      </c>
      <c r="G35" s="4" t="s">
        <v>175</v>
      </c>
      <c r="H35">
        <v>2000000</v>
      </c>
      <c r="I35">
        <v>100000</v>
      </c>
      <c r="L35" s="4" t="s">
        <v>23</v>
      </c>
      <c r="M35">
        <v>10500</v>
      </c>
      <c r="N35">
        <v>500</v>
      </c>
    </row>
    <row r="36" spans="1:14" x14ac:dyDescent="0.3">
      <c r="A36" s="4" t="s">
        <v>175</v>
      </c>
      <c r="B36">
        <v>11600</v>
      </c>
      <c r="C36">
        <v>17400</v>
      </c>
      <c r="D36">
        <v>29000</v>
      </c>
      <c r="G36" s="4" t="s">
        <v>103</v>
      </c>
      <c r="H36">
        <v>5000000</v>
      </c>
      <c r="I36">
        <v>3000000</v>
      </c>
      <c r="L36" s="4" t="s">
        <v>115</v>
      </c>
      <c r="M36">
        <v>1500</v>
      </c>
      <c r="N36">
        <v>200</v>
      </c>
    </row>
    <row r="37" spans="1:14" x14ac:dyDescent="0.3">
      <c r="A37" s="4" t="s">
        <v>103</v>
      </c>
      <c r="B37">
        <v>1575</v>
      </c>
      <c r="C37">
        <v>875</v>
      </c>
      <c r="D37">
        <v>1050</v>
      </c>
      <c r="G37" s="4" t="s">
        <v>190</v>
      </c>
      <c r="H37">
        <v>1000000</v>
      </c>
      <c r="L37" s="4" t="s">
        <v>135</v>
      </c>
      <c r="M37">
        <v>1432.5</v>
      </c>
      <c r="N37">
        <v>300</v>
      </c>
    </row>
    <row r="38" spans="1:14" x14ac:dyDescent="0.3">
      <c r="A38" s="4" t="s">
        <v>190</v>
      </c>
      <c r="B38">
        <v>494</v>
      </c>
      <c r="C38">
        <v>416</v>
      </c>
      <c r="D38">
        <v>390</v>
      </c>
      <c r="G38" s="4" t="s">
        <v>86</v>
      </c>
      <c r="H38">
        <v>4000000</v>
      </c>
      <c r="I38">
        <v>2500000</v>
      </c>
      <c r="L38" s="4" t="s">
        <v>119</v>
      </c>
      <c r="M38">
        <v>4000</v>
      </c>
      <c r="N38">
        <v>500</v>
      </c>
    </row>
    <row r="39" spans="1:14" x14ac:dyDescent="0.3">
      <c r="A39" s="4" t="s">
        <v>86</v>
      </c>
      <c r="B39">
        <v>50000</v>
      </c>
      <c r="C39">
        <v>20000</v>
      </c>
      <c r="D39">
        <v>30000</v>
      </c>
      <c r="G39" s="4" t="s">
        <v>125</v>
      </c>
      <c r="H39">
        <v>4500000</v>
      </c>
      <c r="I39">
        <v>2000000</v>
      </c>
      <c r="L39" s="4" t="s">
        <v>60</v>
      </c>
      <c r="M39">
        <v>4000</v>
      </c>
      <c r="N39">
        <v>200</v>
      </c>
    </row>
    <row r="40" spans="1:14" x14ac:dyDescent="0.3">
      <c r="A40" s="4" t="s">
        <v>125</v>
      </c>
      <c r="B40">
        <v>70000</v>
      </c>
      <c r="C40">
        <v>60000</v>
      </c>
      <c r="D40">
        <v>70000</v>
      </c>
      <c r="G40" s="4" t="s">
        <v>132</v>
      </c>
      <c r="H40">
        <v>2000000</v>
      </c>
      <c r="I40">
        <v>500000</v>
      </c>
      <c r="L40" s="4" t="s">
        <v>142</v>
      </c>
      <c r="M40">
        <v>1415</v>
      </c>
      <c r="N40">
        <v>200</v>
      </c>
    </row>
    <row r="41" spans="1:14" x14ac:dyDescent="0.3">
      <c r="A41" s="4" t="s">
        <v>132</v>
      </c>
      <c r="B41">
        <v>8750</v>
      </c>
      <c r="C41">
        <v>6250</v>
      </c>
      <c r="D41">
        <v>10000</v>
      </c>
      <c r="G41" s="4" t="s">
        <v>111</v>
      </c>
      <c r="L41" s="4" t="s">
        <v>148</v>
      </c>
      <c r="M41">
        <v>175</v>
      </c>
      <c r="N41">
        <v>30</v>
      </c>
    </row>
    <row r="42" spans="1:14" x14ac:dyDescent="0.3">
      <c r="A42" s="4" t="s">
        <v>111</v>
      </c>
      <c r="B42">
        <v>330</v>
      </c>
      <c r="C42">
        <v>120</v>
      </c>
      <c r="D42">
        <v>150</v>
      </c>
      <c r="G42" s="4" t="s">
        <v>163</v>
      </c>
      <c r="H42">
        <v>8000000</v>
      </c>
      <c r="I42">
        <v>3500000</v>
      </c>
      <c r="L42" s="4" t="s">
        <v>151</v>
      </c>
      <c r="M42">
        <v>2150</v>
      </c>
      <c r="N42">
        <v>500</v>
      </c>
    </row>
    <row r="43" spans="1:14" x14ac:dyDescent="0.3">
      <c r="A43" s="4" t="s">
        <v>163</v>
      </c>
      <c r="B43">
        <v>3849.9999999999995</v>
      </c>
      <c r="C43">
        <v>2750</v>
      </c>
      <c r="D43">
        <v>4400</v>
      </c>
      <c r="G43" s="4" t="s">
        <v>95</v>
      </c>
      <c r="H43">
        <v>800000</v>
      </c>
      <c r="I43">
        <v>400000</v>
      </c>
      <c r="L43" s="4" t="s">
        <v>175</v>
      </c>
      <c r="M43">
        <v>75000</v>
      </c>
      <c r="N43">
        <v>20000</v>
      </c>
    </row>
    <row r="44" spans="1:14" x14ac:dyDescent="0.3">
      <c r="A44" s="4" t="s">
        <v>95</v>
      </c>
      <c r="B44">
        <v>6125</v>
      </c>
      <c r="C44">
        <v>5250</v>
      </c>
      <c r="D44">
        <v>6100</v>
      </c>
      <c r="G44" s="4" t="s">
        <v>181</v>
      </c>
      <c r="H44">
        <v>1200000</v>
      </c>
      <c r="I44">
        <v>100000</v>
      </c>
      <c r="L44" s="4" t="s">
        <v>103</v>
      </c>
      <c r="M44">
        <v>30000</v>
      </c>
      <c r="N44">
        <v>2000</v>
      </c>
    </row>
    <row r="45" spans="1:14" x14ac:dyDescent="0.3">
      <c r="A45" s="4" t="s">
        <v>181</v>
      </c>
      <c r="B45">
        <v>1050</v>
      </c>
      <c r="C45">
        <v>900</v>
      </c>
      <c r="D45">
        <v>1050</v>
      </c>
      <c r="G45" s="4" t="s">
        <v>73</v>
      </c>
      <c r="H45">
        <v>1000000</v>
      </c>
      <c r="I45">
        <v>500000</v>
      </c>
      <c r="L45" s="4" t="s">
        <v>190</v>
      </c>
      <c r="M45">
        <v>1635</v>
      </c>
      <c r="N45">
        <v>100</v>
      </c>
    </row>
    <row r="46" spans="1:14" x14ac:dyDescent="0.3">
      <c r="A46" s="4" t="s">
        <v>73</v>
      </c>
      <c r="B46">
        <v>35000</v>
      </c>
      <c r="C46">
        <v>30000</v>
      </c>
      <c r="D46">
        <v>35000</v>
      </c>
      <c r="G46" s="4" t="s">
        <v>81</v>
      </c>
      <c r="H46">
        <v>250000</v>
      </c>
      <c r="I46">
        <v>50000</v>
      </c>
      <c r="L46" s="4" t="s">
        <v>86</v>
      </c>
      <c r="M46">
        <v>750000</v>
      </c>
      <c r="N46">
        <v>50000</v>
      </c>
    </row>
    <row r="47" spans="1:14" x14ac:dyDescent="0.3">
      <c r="A47" s="4" t="s">
        <v>81</v>
      </c>
      <c r="B47">
        <v>400</v>
      </c>
      <c r="C47">
        <v>300</v>
      </c>
      <c r="D47">
        <v>300</v>
      </c>
      <c r="G47" s="4" t="s">
        <v>42</v>
      </c>
      <c r="H47">
        <v>350000</v>
      </c>
      <c r="I47">
        <v>300000</v>
      </c>
      <c r="L47" s="4" t="s">
        <v>125</v>
      </c>
      <c r="M47">
        <v>225000</v>
      </c>
      <c r="N47">
        <v>100000</v>
      </c>
    </row>
    <row r="48" spans="1:14" x14ac:dyDescent="0.3">
      <c r="A48" s="4" t="s">
        <v>42</v>
      </c>
      <c r="B48">
        <v>550</v>
      </c>
      <c r="C48">
        <v>200</v>
      </c>
      <c r="D48">
        <v>250</v>
      </c>
      <c r="G48" s="4" t="s">
        <v>33</v>
      </c>
      <c r="H48">
        <v>230000</v>
      </c>
      <c r="I48">
        <v>50000</v>
      </c>
      <c r="L48" s="4" t="s">
        <v>132</v>
      </c>
      <c r="M48">
        <v>15000</v>
      </c>
      <c r="N48">
        <v>20000</v>
      </c>
    </row>
    <row r="49" spans="1:14" x14ac:dyDescent="0.3">
      <c r="A49" s="4" t="s">
        <v>33</v>
      </c>
      <c r="B49">
        <v>300</v>
      </c>
      <c r="C49">
        <v>120</v>
      </c>
      <c r="D49">
        <v>180</v>
      </c>
      <c r="G49" s="4" t="s">
        <v>156</v>
      </c>
      <c r="H49">
        <v>13000000</v>
      </c>
      <c r="I49">
        <v>6600000</v>
      </c>
      <c r="L49" s="4" t="s">
        <v>111</v>
      </c>
      <c r="M49">
        <v>2250</v>
      </c>
      <c r="N49">
        <v>200</v>
      </c>
    </row>
    <row r="50" spans="1:14" x14ac:dyDescent="0.3">
      <c r="A50" s="4" t="s">
        <v>156</v>
      </c>
      <c r="B50">
        <v>87500</v>
      </c>
      <c r="C50">
        <v>70000</v>
      </c>
      <c r="D50">
        <v>92000</v>
      </c>
      <c r="G50" s="4" t="s">
        <v>185</v>
      </c>
      <c r="H50">
        <v>500000</v>
      </c>
      <c r="L50" s="4" t="s">
        <v>163</v>
      </c>
      <c r="M50">
        <v>42500</v>
      </c>
      <c r="N50">
        <v>20000</v>
      </c>
    </row>
    <row r="51" spans="1:14" x14ac:dyDescent="0.3">
      <c r="A51" s="4" t="s">
        <v>185</v>
      </c>
      <c r="B51">
        <v>800</v>
      </c>
      <c r="C51">
        <v>600</v>
      </c>
      <c r="D51">
        <v>600</v>
      </c>
      <c r="G51" s="4" t="s">
        <v>52</v>
      </c>
      <c r="L51" s="4" t="s">
        <v>95</v>
      </c>
      <c r="M51">
        <v>12000</v>
      </c>
      <c r="N51">
        <v>5000</v>
      </c>
    </row>
    <row r="52" spans="1:14" ht="11.4" customHeight="1" x14ac:dyDescent="0.3">
      <c r="A52" s="4" t="s">
        <v>52</v>
      </c>
      <c r="B52">
        <v>180</v>
      </c>
      <c r="C52">
        <v>60</v>
      </c>
      <c r="D52">
        <v>60</v>
      </c>
      <c r="G52" s="4" t="s">
        <v>170</v>
      </c>
      <c r="H52">
        <v>4500000</v>
      </c>
      <c r="I52">
        <v>200000</v>
      </c>
      <c r="L52" s="4" t="s">
        <v>181</v>
      </c>
      <c r="M52">
        <v>5650</v>
      </c>
      <c r="N52">
        <v>500</v>
      </c>
    </row>
    <row r="53" spans="1:14" hidden="1" x14ac:dyDescent="0.3">
      <c r="A53" s="4" t="s">
        <v>170</v>
      </c>
      <c r="B53">
        <v>40000</v>
      </c>
      <c r="C53">
        <v>28000.000000000004</v>
      </c>
      <c r="D53">
        <v>32000</v>
      </c>
      <c r="G53" s="4" t="s">
        <v>67</v>
      </c>
      <c r="H53">
        <v>300000</v>
      </c>
      <c r="I53">
        <v>100000</v>
      </c>
      <c r="L53" s="4" t="s">
        <v>73</v>
      </c>
      <c r="M53">
        <v>135000</v>
      </c>
      <c r="N53">
        <v>30000</v>
      </c>
    </row>
    <row r="54" spans="1:14" hidden="1" x14ac:dyDescent="0.3">
      <c r="A54" s="4" t="s">
        <v>67</v>
      </c>
      <c r="B54">
        <v>550</v>
      </c>
      <c r="C54">
        <v>200</v>
      </c>
      <c r="D54">
        <v>250</v>
      </c>
      <c r="G54" s="4" t="s">
        <v>200</v>
      </c>
      <c r="H54">
        <v>51630000</v>
      </c>
      <c r="I54">
        <v>20850000</v>
      </c>
      <c r="L54" s="4" t="s">
        <v>81</v>
      </c>
      <c r="M54">
        <v>1550</v>
      </c>
      <c r="N54">
        <v>200</v>
      </c>
    </row>
    <row r="55" spans="1:14" x14ac:dyDescent="0.3">
      <c r="L55" s="4" t="s">
        <v>42</v>
      </c>
      <c r="M55">
        <v>10875</v>
      </c>
      <c r="N55">
        <v>200</v>
      </c>
    </row>
    <row r="56" spans="1:14" x14ac:dyDescent="0.3">
      <c r="L56" s="4" t="s">
        <v>33</v>
      </c>
      <c r="M56">
        <v>2100</v>
      </c>
      <c r="N56">
        <v>100</v>
      </c>
    </row>
    <row r="57" spans="1:14" x14ac:dyDescent="0.3">
      <c r="L57" s="4" t="s">
        <v>156</v>
      </c>
      <c r="M57">
        <v>425000</v>
      </c>
      <c r="N57">
        <v>150000</v>
      </c>
    </row>
    <row r="58" spans="1:14" x14ac:dyDescent="0.3">
      <c r="L58" s="4" t="s">
        <v>185</v>
      </c>
      <c r="M58">
        <v>2500</v>
      </c>
      <c r="N58">
        <v>200</v>
      </c>
    </row>
    <row r="59" spans="1:14" x14ac:dyDescent="0.3">
      <c r="L59" s="4" t="s">
        <v>52</v>
      </c>
      <c r="M59">
        <v>1250</v>
      </c>
      <c r="N59">
        <v>50</v>
      </c>
    </row>
    <row r="60" spans="1:14" x14ac:dyDescent="0.3">
      <c r="L60" s="4" t="s">
        <v>170</v>
      </c>
      <c r="M60">
        <v>263500</v>
      </c>
      <c r="N60">
        <v>200000</v>
      </c>
    </row>
    <row r="61" spans="1:14" x14ac:dyDescent="0.3">
      <c r="L61" s="4" t="s">
        <v>67</v>
      </c>
      <c r="M61">
        <v>10510.5</v>
      </c>
      <c r="N61">
        <v>150</v>
      </c>
    </row>
    <row r="65" spans="3:4" x14ac:dyDescent="0.3">
      <c r="C65" s="3" t="s">
        <v>197</v>
      </c>
      <c r="D65" t="s">
        <v>198</v>
      </c>
    </row>
    <row r="66" spans="3:4" x14ac:dyDescent="0.3">
      <c r="C66" s="4" t="s">
        <v>86</v>
      </c>
      <c r="D66">
        <v>750000</v>
      </c>
    </row>
    <row r="67" spans="3:4" x14ac:dyDescent="0.3">
      <c r="C67" s="4" t="s">
        <v>156</v>
      </c>
      <c r="D67">
        <v>425000</v>
      </c>
    </row>
    <row r="68" spans="3:4" x14ac:dyDescent="0.3">
      <c r="C68" s="4" t="s">
        <v>170</v>
      </c>
      <c r="D68">
        <v>263500</v>
      </c>
    </row>
    <row r="69" spans="3:4" x14ac:dyDescent="0.3">
      <c r="C69" s="4" t="s">
        <v>125</v>
      </c>
      <c r="D69">
        <v>225000</v>
      </c>
    </row>
    <row r="70" spans="3:4" x14ac:dyDescent="0.3">
      <c r="C70" s="4" t="s">
        <v>73</v>
      </c>
      <c r="D70">
        <v>135000</v>
      </c>
    </row>
    <row r="71" spans="3:4" x14ac:dyDescent="0.3">
      <c r="C71" s="4" t="s">
        <v>175</v>
      </c>
      <c r="D71">
        <v>75000</v>
      </c>
    </row>
    <row r="72" spans="3:4" x14ac:dyDescent="0.3">
      <c r="C72" s="4" t="s">
        <v>163</v>
      </c>
      <c r="D72">
        <v>42500</v>
      </c>
    </row>
    <row r="73" spans="3:4" x14ac:dyDescent="0.3">
      <c r="C73" s="4" t="s">
        <v>103</v>
      </c>
      <c r="D73">
        <v>30000</v>
      </c>
    </row>
    <row r="74" spans="3:4" x14ac:dyDescent="0.3">
      <c r="C74" s="4" t="s">
        <v>132</v>
      </c>
      <c r="D74">
        <v>15000</v>
      </c>
    </row>
    <row r="75" spans="3:4" x14ac:dyDescent="0.3">
      <c r="C75" s="4" t="s">
        <v>95</v>
      </c>
      <c r="D75">
        <v>12000</v>
      </c>
    </row>
    <row r="76" spans="3:4" x14ac:dyDescent="0.3">
      <c r="C76" s="4" t="s">
        <v>42</v>
      </c>
      <c r="D76">
        <v>10875</v>
      </c>
    </row>
    <row r="77" spans="3:4" x14ac:dyDescent="0.3">
      <c r="C77" s="4" t="s">
        <v>67</v>
      </c>
      <c r="D77">
        <v>10510.5</v>
      </c>
    </row>
    <row r="78" spans="3:4" x14ac:dyDescent="0.3">
      <c r="C78" s="4" t="s">
        <v>23</v>
      </c>
      <c r="D78">
        <v>10500</v>
      </c>
    </row>
    <row r="79" spans="3:4" x14ac:dyDescent="0.3">
      <c r="C79" s="4" t="s">
        <v>181</v>
      </c>
      <c r="D79">
        <v>5650</v>
      </c>
    </row>
    <row r="80" spans="3:4" x14ac:dyDescent="0.3">
      <c r="C80" s="4" t="s">
        <v>119</v>
      </c>
      <c r="D80">
        <v>4000</v>
      </c>
    </row>
    <row r="81" spans="3:4" x14ac:dyDescent="0.3">
      <c r="C81" s="4" t="s">
        <v>60</v>
      </c>
      <c r="D81">
        <v>4000</v>
      </c>
    </row>
    <row r="82" spans="3:4" x14ac:dyDescent="0.3">
      <c r="C82" s="4" t="s">
        <v>185</v>
      </c>
      <c r="D82">
        <v>2500</v>
      </c>
    </row>
    <row r="83" spans="3:4" x14ac:dyDescent="0.3">
      <c r="C83" s="4" t="s">
        <v>111</v>
      </c>
      <c r="D83">
        <v>2250</v>
      </c>
    </row>
    <row r="84" spans="3:4" x14ac:dyDescent="0.3">
      <c r="C84" s="4" t="s">
        <v>151</v>
      </c>
      <c r="D84">
        <v>2150</v>
      </c>
    </row>
    <row r="85" spans="3:4" x14ac:dyDescent="0.3">
      <c r="C85" s="4" t="s">
        <v>33</v>
      </c>
      <c r="D85">
        <v>2100</v>
      </c>
    </row>
    <row r="86" spans="3:4" x14ac:dyDescent="0.3">
      <c r="C86" s="4" t="s">
        <v>190</v>
      </c>
      <c r="D86">
        <v>1635</v>
      </c>
    </row>
    <row r="87" spans="3:4" x14ac:dyDescent="0.3">
      <c r="C87" s="4" t="s">
        <v>81</v>
      </c>
      <c r="D87">
        <v>1550</v>
      </c>
    </row>
    <row r="88" spans="3:4" x14ac:dyDescent="0.3">
      <c r="C88" s="4" t="s">
        <v>115</v>
      </c>
      <c r="D88">
        <v>1500</v>
      </c>
    </row>
    <row r="89" spans="3:4" x14ac:dyDescent="0.3">
      <c r="C89" s="4" t="s">
        <v>135</v>
      </c>
      <c r="D89">
        <v>1432.5</v>
      </c>
    </row>
    <row r="90" spans="3:4" x14ac:dyDescent="0.3">
      <c r="C90" s="4" t="s">
        <v>142</v>
      </c>
      <c r="D90">
        <v>1415</v>
      </c>
    </row>
    <row r="91" spans="3:4" x14ac:dyDescent="0.3">
      <c r="C91" s="4" t="s">
        <v>52</v>
      </c>
      <c r="D91">
        <v>1250</v>
      </c>
    </row>
    <row r="92" spans="3:4" x14ac:dyDescent="0.3">
      <c r="C92" s="4" t="s">
        <v>148</v>
      </c>
      <c r="D92">
        <v>175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41956-6BBD-4DED-A3CA-9C31D72EDA50}">
  <dimension ref="A1:AG74"/>
  <sheetViews>
    <sheetView showGridLines="0" topLeftCell="A45" zoomScale="60" zoomScaleNormal="60" workbookViewId="0">
      <selection activeCell="P87" sqref="P87"/>
    </sheetView>
  </sheetViews>
  <sheetFormatPr defaultRowHeight="14.4" x14ac:dyDescent="0.3"/>
  <sheetData>
    <row r="1" spans="1:30"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0"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spans="1:30"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0"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spans="1:30"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spans="1:30"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spans="1:30"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0"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0"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0"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0"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3"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3"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3"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3"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3"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3"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3"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3"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3"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3"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3"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3"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3"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3"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3"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G31" s="8"/>
    </row>
    <row r="32" spans="1:33"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x14ac:dyDescent="0.3">
      <c r="A33" s="5"/>
      <c r="B33" s="5"/>
      <c r="C33" s="5"/>
      <c r="D33" s="5"/>
      <c r="E33" s="5"/>
      <c r="F33" s="5"/>
      <c r="G33" s="5"/>
      <c r="H33" s="5"/>
      <c r="I33" s="5"/>
      <c r="J33" s="5"/>
      <c r="K33" s="5"/>
      <c r="L33" s="5"/>
      <c r="M33" s="5"/>
      <c r="N33" s="5"/>
      <c r="O33" s="5"/>
      <c r="P33" s="5"/>
      <c r="Q33" s="5"/>
      <c r="R33" s="5"/>
      <c r="S33" s="5"/>
      <c r="T33" s="9"/>
      <c r="U33" s="5"/>
      <c r="V33" s="5"/>
      <c r="W33" s="5"/>
      <c r="X33" s="5"/>
      <c r="Y33" s="5"/>
      <c r="Z33" s="5"/>
      <c r="AA33" s="5"/>
      <c r="AB33" s="5"/>
      <c r="AC33" s="5"/>
      <c r="AD33" s="5"/>
    </row>
    <row r="34" spans="1:30"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Conflict_RawData</vt:lpstr>
      <vt:lpstr>Processed_Data</vt:lpstr>
      <vt:lpstr>Pivot_Table</vt:lpstr>
      <vt:lpstr> Dashboard</vt:lpstr>
      <vt:lpstr>Conflict_Data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SAPANA</dc:creator>
  <cp:lastModifiedBy>Sapna Patel</cp:lastModifiedBy>
  <dcterms:created xsi:type="dcterms:W3CDTF">2026-07-07T07:57:38Z</dcterms:created>
  <dcterms:modified xsi:type="dcterms:W3CDTF">2026-08-03T04:39:02Z</dcterms:modified>
</cp:coreProperties>
</file>